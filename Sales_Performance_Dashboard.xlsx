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b72b7b7d68c99e8/Desktop/Sales Performance Dashboard/"/>
    </mc:Choice>
  </mc:AlternateContent>
  <xr:revisionPtr revIDLastSave="356" documentId="8_{229786EF-41AE-4622-9C49-C04738406AB0}" xr6:coauthVersionLast="47" xr6:coauthVersionMax="47" xr10:uidLastSave="{E222ACF7-B079-4E51-BD6C-DEA89866D096}"/>
  <bookViews>
    <workbookView xWindow="11508" yWindow="12" windowWidth="11148" windowHeight="9960" firstSheet="1" activeTab="1" xr2:uid="{A853B77B-0601-4C28-9F7C-E7BEB5BA7DF5}"/>
  </bookViews>
  <sheets>
    <sheet name="Sales Data" sheetId="1" r:id="rId1"/>
    <sheet name="Dashboard" sheetId="3" r:id="rId2"/>
    <sheet name="Pivot Tables" sheetId="4" r:id="rId3"/>
  </sheets>
  <definedNames>
    <definedName name="Slicer_Category">#N/A</definedName>
    <definedName name="Slicer_Location">#N/A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G4" i="3"/>
  <c r="C4" i="3"/>
  <c r="E4" i="3"/>
  <c r="I4" i="3"/>
  <c r="K4" i="3"/>
</calcChain>
</file>

<file path=xl/sharedStrings.xml><?xml version="1.0" encoding="utf-8"?>
<sst xmlns="http://schemas.openxmlformats.org/spreadsheetml/2006/main" count="336" uniqueCount="84">
  <si>
    <t>Date</t>
  </si>
  <si>
    <t>Product</t>
  </si>
  <si>
    <t>Category</t>
  </si>
  <si>
    <t>Location</t>
  </si>
  <si>
    <t>Salesperson</t>
  </si>
  <si>
    <t>Units Sold</t>
  </si>
  <si>
    <t>Revenue</t>
  </si>
  <si>
    <t>Profit</t>
  </si>
  <si>
    <t>01.01.2026</t>
  </si>
  <si>
    <t>Laptop</t>
  </si>
  <si>
    <t>Electronics</t>
  </si>
  <si>
    <t>Chennai</t>
  </si>
  <si>
    <t>Arun</t>
  </si>
  <si>
    <t>02.01.2026</t>
  </si>
  <si>
    <t>Mouse</t>
  </si>
  <si>
    <t>Accessories</t>
  </si>
  <si>
    <t>Trichy</t>
  </si>
  <si>
    <t>Priya</t>
  </si>
  <si>
    <t>03.01.2026</t>
  </si>
  <si>
    <t>Keyboard</t>
  </si>
  <si>
    <t>Madurai</t>
  </si>
  <si>
    <t>Karthik</t>
  </si>
  <si>
    <t>04.01.2026</t>
  </si>
  <si>
    <t>Monitor</t>
  </si>
  <si>
    <t>Theni</t>
  </si>
  <si>
    <t>Divya</t>
  </si>
  <si>
    <t>05.01.2026</t>
  </si>
  <si>
    <t>Erode</t>
  </si>
  <si>
    <t>06.01.2026</t>
  </si>
  <si>
    <t>Salem</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</si>
  <si>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</si>
  <si>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</si>
  <si>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</si>
  <si>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</si>
  <si>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</si>
  <si>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</si>
  <si>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</si>
  <si>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</si>
  <si>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</si>
  <si>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</si>
  <si>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</si>
  <si>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</si>
  <si>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</si>
  <si>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</si>
  <si>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</si>
  <si>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</si>
  <si>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</si>
  <si>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</si>
  <si>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</si>
  <si>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</si>
  <si>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</si>
  <si>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</si>
  <si>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</si>
  <si>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</si>
  <si>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</si>
  <si>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</si>
  <si>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</si>
  <si>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</si>
  <si>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</si>
  <si>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</si>
  <si>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</si>
  <si>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</si>
  <si>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</si>
  <si>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</si>
  <si>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</si>
  <si>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</si>
  <si>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</si>
  <si>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</si>
  <si>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</si>
  <si>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</si>
  <si>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</si>
  <si>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</si>
  <si>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SALES PERFORMANCE DASHBOARD</t>
  </si>
  <si>
    <t>Total Revenue</t>
  </si>
  <si>
    <t>Total Profit</t>
  </si>
  <si>
    <t>Total Orders</t>
  </si>
  <si>
    <t>Average Revenue</t>
  </si>
  <si>
    <t>Average Profit</t>
  </si>
  <si>
    <t>Grand Total</t>
  </si>
  <si>
    <t>Revenue by Location</t>
  </si>
  <si>
    <t>Daily Revenue Trend</t>
  </si>
  <si>
    <t>Revenue by Product</t>
  </si>
  <si>
    <t>Profit by Location</t>
  </si>
  <si>
    <t xml:space="preserve"> PIVOT TABLES - SALES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</si>
</sst>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
    <numFmt numFmtId="166" formatCode="#,#00"/>
    <numFmt numFmtId="167" formatCode="_ [$₹-449]\ * #,##0_ ;_ [$₹-449]\ * \-#,##0_ ;_ [$₹-449]\ * &quot;-&quot;_ ;_ @_ "/>
  </numFmts>
  <fonts count="5" x14ac:knownFonts="1">
    <font>
      <sz val="11"/>
      <color theme="1"/>
      <name val="Aptos Narrow"/>
      <family val="2"/>
      <scheme val="minor"/>
    </font>
    <font>
      <b/>
      <sz val="14"/>
      <color theme="1"/>
      <name val="Aptos Narrow"/>
      <family val="2"/>
      <scheme val="minor"/>
    </font>
    <font>
      <b/>
      <sz val="24"/>
      <color theme="1"/>
      <name val="Aptos Narrow"/>
      <family val="2"/>
      <scheme val="minor"/>
    </font>
    <font>
      <b/>
      <sz val="30"/>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3" fillId="0" borderId="0" xfId="0" applyFont="1"/>
    <xf numFmtId="0" fontId="1" fillId="0" borderId="0" xfId="0" applyFont="1" applyAlignment="1">
      <alignment horizont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167" fontId="0" fillId="0" borderId="0" xfId="0" applyNumberFormat="1"/>
    <xf numFmtId="167" fontId="2" fillId="0" borderId="0" xfId="0" applyNumberFormat="1" applyFont="1" applyAlignment="1">
      <alignment horizontal="left" vertical="top"/>
    </xf>
    <xf numFmtId="167" fontId="2" fillId="0" borderId="0" xfId="0" applyNumberFormat="1" applyFont="1" applyAlignment="1">
      <alignment horizontal="center"/>
    </xf>
    <xf numFmtId="167" fontId="1" fillId="0" borderId="0" xfId="0" applyNumberFormat="1" applyFont="1"/>
    <xf numFmtId="167" fontId="0" fillId="0" borderId="0" xfId="0" pivotButton="1" applyNumberFormat="1"/>
    <xf numFmtId="167" fontId="0" fillId="0" borderId="0" xfId="0" applyNumberFormat="1" applyAlignment="1">
      <alignment horizontal="left"/>
    </xf>
    <xf numFmtId="0" fontId="4" fillId="0" borderId="0" xfId="0" applyFont="1"/>
    <xf numFmtId="167" fontId="0" fillId="0" borderId="0" xfId="0" applyNumberFormat="1" applyFont="1" applyFill="1" applyBorder="1" applyAlignment="1" applyProtection="1"/>
  </cellXfs>
  <cellStyles count="1">
    <cellStyle name="Normal" xfId="0" builtinId="0"/>
  </cellStyles>
  <dxfs count="208">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Tables!Revenue by Location</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Tables'!$A$6:$A$12</c:f>
              <c:strCache>
                <c:ptCount val="6"/>
                <c:pt idx="0">
                  <c:v>Chennai</c:v>
                </c:pt>
                <c:pt idx="1">
                  <c:v>Erode</c:v>
                </c:pt>
                <c:pt idx="2">
                  <c:v>Madurai</c:v>
                </c:pt>
                <c:pt idx="3">
                  <c:v>Salem</c:v>
                </c:pt>
                <c:pt idx="4">
                  <c:v>Theni</c:v>
                </c:pt>
                <c:pt idx="5">
                  <c:v>Trichy</c:v>
                </c:pt>
              </c:strCache>
            </c:strRef>
          </c:cat>
          <c:val>
            <c:numRef>
              <c:f>'Pivot Tables'!$B$6:$B$12</c:f>
              <c:numCache>
                <c:formatCode>_ [$₹-449]\ * #,##0_ ;_ [$₹-449]\ * \-#,##0_ ;_ [$₹-449]\ * "-"_ ;_ @_ </c:formatCode>
                <c:ptCount val="6"/>
                <c:pt idx="0">
                  <c:v>1249000</c:v>
                </c:pt>
                <c:pt idx="1">
                  <c:v>835500</c:v>
                </c:pt>
                <c:pt idx="2">
                  <c:v>1155000</c:v>
                </c:pt>
                <c:pt idx="3">
                  <c:v>565000</c:v>
                </c:pt>
                <c:pt idx="4">
                  <c:v>533000</c:v>
                </c:pt>
                <c:pt idx="5">
                  <c:v>595000</c:v>
                </c:pt>
              </c:numCache>
            </c:numRef>
          </c:val>
          <c:extLst>
            <c:ext xmlns:c16="http://schemas.microsoft.com/office/drawing/2014/chart" uri="{C3380CC4-5D6E-409C-BE32-E72D297353CC}">
              <c16:uniqueId val="{00000000-1061-47D8-9E58-C930EC4A1787}"/>
            </c:ext>
          </c:extLst>
        </c:ser>
        <c:dLbls>
          <c:dLblPos val="outEnd"/>
          <c:showLegendKey val="0"/>
          <c:showVal val="1"/>
          <c:showCatName val="0"/>
          <c:showSerName val="0"/>
          <c:showPercent val="0"/>
          <c:showBubbleSize val="0"/>
        </c:dLbls>
        <c:gapWidth val="100"/>
        <c:overlap val="-24"/>
        <c:axId val="219402032"/>
        <c:axId val="2068155056"/>
      </c:barChart>
      <c:catAx>
        <c:axId val="219402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155056"/>
        <c:crosses val="autoZero"/>
        <c:auto val="1"/>
        <c:lblAlgn val="ctr"/>
        <c:lblOffset val="100"/>
        <c:noMultiLvlLbl val="0"/>
      </c:catAx>
      <c:valAx>
        <c:axId val="2068155056"/>
        <c:scaling>
          <c:orientation val="minMax"/>
        </c:scaling>
        <c:delete val="0"/>
        <c:axPos val="l"/>
        <c:majorGridlines>
          <c:spPr>
            <a:ln w="9525" cap="flat" cmpd="sng" algn="ctr">
              <a:solidFill>
                <a:schemeClr val="lt1">
                  <a:lumMod val="95000"/>
                  <a:alpha val="10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40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Tables!Revenue by Product</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Tables'!$A$18:$A$22</c:f>
              <c:strCache>
                <c:ptCount val="4"/>
                <c:pt idx="0">
                  <c:v>Keyboard</c:v>
                </c:pt>
                <c:pt idx="1">
                  <c:v>Laptop</c:v>
                </c:pt>
                <c:pt idx="2">
                  <c:v>Monitor</c:v>
                </c:pt>
                <c:pt idx="3">
                  <c:v>Mouse</c:v>
                </c:pt>
              </c:strCache>
            </c:strRef>
          </c:cat>
          <c:val>
            <c:numRef>
              <c:f>'Pivot Tables'!$B$18:$B$22</c:f>
              <c:numCache>
                <c:formatCode>_ [$₹-449]\ * #,##0_ ;_ [$₹-449]\ * \-#,##0_ ;_ [$₹-449]\ * "-"_ ;_ @_ </c:formatCode>
                <c:ptCount val="4"/>
                <c:pt idx="0">
                  <c:v>289500</c:v>
                </c:pt>
                <c:pt idx="1">
                  <c:v>2950000</c:v>
                </c:pt>
                <c:pt idx="2">
                  <c:v>1410000</c:v>
                </c:pt>
                <c:pt idx="3">
                  <c:v>283000</c:v>
                </c:pt>
              </c:numCache>
            </c:numRef>
          </c:val>
          <c:extLst>
            <c:ext xmlns:c16="http://schemas.microsoft.com/office/drawing/2014/chart" uri="{C3380CC4-5D6E-409C-BE32-E72D297353CC}">
              <c16:uniqueId val="{00000000-AB51-4B65-B462-5865D514B389}"/>
            </c:ext>
          </c:extLst>
        </c:ser>
        <c:dLbls>
          <c:dLblPos val="outEnd"/>
          <c:showLegendKey val="0"/>
          <c:showVal val="1"/>
          <c:showCatName val="0"/>
          <c:showSerName val="0"/>
          <c:showPercent val="0"/>
          <c:showBubbleSize val="0"/>
        </c:dLbls>
        <c:gapWidth val="100"/>
        <c:overlap val="-24"/>
        <c:axId val="1826565808"/>
        <c:axId val="1813000144"/>
      </c:barChart>
      <c:catAx>
        <c:axId val="1826565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000144"/>
        <c:crosses val="autoZero"/>
        <c:auto val="1"/>
        <c:lblAlgn val="ctr"/>
        <c:lblOffset val="100"/>
        <c:noMultiLvlLbl val="0"/>
      </c:catAx>
      <c:valAx>
        <c:axId val="1813000144"/>
        <c:scaling>
          <c:orientation val="minMax"/>
        </c:scaling>
        <c:delete val="0"/>
        <c:axPos val="l"/>
        <c:majorGridlines>
          <c:spPr>
            <a:ln w="9525" cap="flat" cmpd="sng" algn="ctr">
              <a:solidFill>
                <a:schemeClr val="lt1">
                  <a:lumMod val="95000"/>
                  <a:alpha val="10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5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 Tables!Profit by Location</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Tables'!$A$28:$A$34</c:f>
              <c:strCache>
                <c:ptCount val="6"/>
                <c:pt idx="0">
                  <c:v>Chennai</c:v>
                </c:pt>
                <c:pt idx="1">
                  <c:v>Erode</c:v>
                </c:pt>
                <c:pt idx="2">
                  <c:v>Madurai</c:v>
                </c:pt>
                <c:pt idx="3">
                  <c:v>Salem</c:v>
                </c:pt>
                <c:pt idx="4">
                  <c:v>Theni</c:v>
                </c:pt>
                <c:pt idx="5">
                  <c:v>Trichy</c:v>
                </c:pt>
              </c:strCache>
            </c:strRef>
          </c:cat>
          <c:val>
            <c:numRef>
              <c:f>'Pivot Tables'!$B$28:$B$34</c:f>
              <c:numCache>
                <c:formatCode>_ [$₹-449]\ * #,##0_ ;_ [$₹-449]\ * \-#,##0_ ;_ [$₹-449]\ * "-"_ ;_ @_ </c:formatCode>
                <c:ptCount val="6"/>
                <c:pt idx="0">
                  <c:v>192300</c:v>
                </c:pt>
                <c:pt idx="1">
                  <c:v>129600</c:v>
                </c:pt>
                <c:pt idx="2">
                  <c:v>178500</c:v>
                </c:pt>
                <c:pt idx="3">
                  <c:v>89750</c:v>
                </c:pt>
                <c:pt idx="4">
                  <c:v>84850</c:v>
                </c:pt>
                <c:pt idx="5">
                  <c:v>93500</c:v>
                </c:pt>
              </c:numCache>
            </c:numRef>
          </c:val>
          <c:extLst>
            <c:ext xmlns:c16="http://schemas.microsoft.com/office/drawing/2014/chart" uri="{C3380CC4-5D6E-409C-BE32-E72D297353CC}">
              <c16:uniqueId val="{00000000-327C-49CA-A685-1B6FEBABD6B2}"/>
            </c:ext>
          </c:extLst>
        </c:ser>
        <c:dLbls>
          <c:dLblPos val="outEnd"/>
          <c:showLegendKey val="0"/>
          <c:showVal val="1"/>
          <c:showCatName val="0"/>
          <c:showSerName val="0"/>
          <c:showPercent val="0"/>
          <c:showBubbleSize val="0"/>
        </c:dLbls>
        <c:gapWidth val="100"/>
        <c:overlap val="-24"/>
        <c:axId val="1932426640"/>
        <c:axId val="1813052464"/>
      </c:barChart>
      <c:catAx>
        <c:axId val="1932426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052464"/>
        <c:crosses val="autoZero"/>
        <c:auto val="1"/>
        <c:lblAlgn val="ctr"/>
        <c:lblOffset val="100"/>
        <c:noMultiLvlLbl val="0"/>
      </c:catAx>
      <c:valAx>
        <c:axId val="1813052464"/>
        <c:scaling>
          <c:orientation val="minMax"/>
        </c:scaling>
        <c:delete val="0"/>
        <c:axPos val="l"/>
        <c:majorGridlines>
          <c:spPr>
            <a:ln w="9525" cap="flat" cmpd="sng" algn="ctr">
              <a:solidFill>
                <a:schemeClr val="lt1">
                  <a:lumMod val="95000"/>
                  <a:alpha val="10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42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Tables!Daily Revenue Trend</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Tables'!$E$5</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Tables'!$D$6:$D$54</c:f>
              <c:strCache>
                <c:ptCount val="48"/>
                <c:pt idx="0">
                  <c:v>01.01.2026</c:v>
                </c:pt>
                <c:pt idx="1">
                  <c:v>01.02.2026</c:v>
                </c:pt>
                <c:pt idx="2">
                  <c:v>02.01.2026</c:v>
                </c:pt>
                <c:pt idx="3">
                  <c:v>02.02.2026</c:v>
                </c:pt>
                <c:pt idx="4">
                  <c:v>03.01.2026</c:v>
                </c:pt>
                <c:pt idx="5">
                  <c:v>03.02.2026</c:v>
                </c:pt>
                <c:pt idx="6">
                  <c:v>04.01.2026</c:v>
                </c:pt>
                <c:pt idx="7">
                  <c:v>04.02.2026</c:v>
                </c:pt>
                <c:pt idx="8">
                  <c:v>05.01.2026</c:v>
                </c:pt>
                <c:pt idx="9">
                  <c:v>05.02.2026</c:v>
                </c:pt>
                <c:pt idx="10">
                  <c:v>06.01.2026</c:v>
                </c:pt>
                <c:pt idx="11">
                  <c:v>06.02.2026</c:v>
                </c:pt>
                <c:pt idx="12">
                  <c:v>07.01.2026</c:v>
                </c:pt>
                <c:pt idx="13">
                  <c:v>07.02.2026</c:v>
                </c:pt>
                <c:pt idx="14">
                  <c:v>08.01.2026</c:v>
                </c:pt>
                <c:pt idx="15">
                  <c:v>08.02.2026</c:v>
                </c:pt>
                <c:pt idx="16">
                  <c:v>09.01.2026</c:v>
                </c:pt>
                <c:pt idx="17">
                  <c:v>09.02.2026</c:v>
                </c:pt>
                <c:pt idx="18">
                  <c:v>10.01.2026</c:v>
                </c:pt>
                <c:pt idx="19">
                  <c:v>10.02.2026</c:v>
                </c:pt>
                <c:pt idx="20">
                  <c:v>11.01.2026</c:v>
                </c:pt>
                <c:pt idx="21">
                  <c:v>11.02.2026</c:v>
                </c:pt>
                <c:pt idx="22">
                  <c:v>12.01.2026</c:v>
                </c:pt>
                <c:pt idx="23">
                  <c:v>12.02.2026</c:v>
                </c:pt>
                <c:pt idx="24">
                  <c:v>13.01.2026</c:v>
                </c:pt>
                <c:pt idx="25">
                  <c:v>13.02.2026</c:v>
                </c:pt>
                <c:pt idx="26">
                  <c:v>14.01.2026</c:v>
                </c:pt>
                <c:pt idx="27">
                  <c:v>14.02.2026</c:v>
                </c:pt>
                <c:pt idx="28">
                  <c:v>15.01.2026</c:v>
                </c:pt>
                <c:pt idx="29">
                  <c:v>15.02.2026</c:v>
                </c:pt>
                <c:pt idx="30">
                  <c:v>16.01.2026</c:v>
                </c:pt>
                <c:pt idx="31">
                  <c:v>16.02.2026</c:v>
                </c:pt>
                <c:pt idx="32">
                  <c:v>17.01.2026</c:v>
                </c:pt>
                <c:pt idx="33">
                  <c:v>17.02.2026</c:v>
                </c:pt>
                <c:pt idx="34">
                  <c:v>18.01.2026</c:v>
                </c:pt>
                <c:pt idx="35">
                  <c:v>19.01.2026</c:v>
                </c:pt>
                <c:pt idx="36">
                  <c:v>20.01.2026</c:v>
                </c:pt>
                <c:pt idx="37">
                  <c:v>21.01.2026</c:v>
                </c:pt>
                <c:pt idx="38">
                  <c:v>22.01.2026</c:v>
                </c:pt>
                <c:pt idx="39">
                  <c:v>23.01.2026</c:v>
                </c:pt>
                <c:pt idx="40">
                  <c:v>24.01.2026</c:v>
                </c:pt>
                <c:pt idx="41">
                  <c:v>25.01.2026</c:v>
                </c:pt>
                <c:pt idx="42">
                  <c:v>26.01.2026</c:v>
                </c:pt>
                <c:pt idx="43">
                  <c:v>27.01.2026</c:v>
                </c:pt>
                <c:pt idx="44">
                  <c:v>28.01.2026</c:v>
                </c:pt>
                <c:pt idx="45">
                  <c:v>29.01.2026</c:v>
                </c:pt>
                <c:pt idx="46">
                  <c:v>30.01.2026</c:v>
                </c:pt>
                <c:pt idx="47">
                  <c:v>31.01.2026</c:v>
                </c:pt>
              </c:strCache>
            </c:strRef>
          </c:cat>
          <c:val>
            <c:numRef>
              <c:f>'Pivot Tables'!$E$6:$E$54</c:f>
              <c:numCache>
                <c:formatCode>_ [$₹-449]\ * #,##0_ ;_ [$₹-449]\ * \-#,##0_ ;_ [$₹-449]\ * "-"_ ;_ @_ </c:formatCode>
                <c:ptCount val="48"/>
                <c:pt idx="0">
                  <c:v>250000</c:v>
                </c:pt>
                <c:pt idx="1">
                  <c:v>165000</c:v>
                </c:pt>
                <c:pt idx="2">
                  <c:v>20000</c:v>
                </c:pt>
                <c:pt idx="3">
                  <c:v>300000</c:v>
                </c:pt>
                <c:pt idx="4">
                  <c:v>22500</c:v>
                </c:pt>
                <c:pt idx="5">
                  <c:v>21000</c:v>
                </c:pt>
                <c:pt idx="6">
                  <c:v>120000</c:v>
                </c:pt>
                <c:pt idx="7">
                  <c:v>19500</c:v>
                </c:pt>
                <c:pt idx="8">
                  <c:v>150000</c:v>
                </c:pt>
                <c:pt idx="9">
                  <c:v>105000</c:v>
                </c:pt>
                <c:pt idx="10">
                  <c:v>25000</c:v>
                </c:pt>
                <c:pt idx="11">
                  <c:v>250000</c:v>
                </c:pt>
                <c:pt idx="12">
                  <c:v>27000</c:v>
                </c:pt>
                <c:pt idx="13">
                  <c:v>23000</c:v>
                </c:pt>
                <c:pt idx="14">
                  <c:v>90000</c:v>
                </c:pt>
                <c:pt idx="15">
                  <c:v>24000</c:v>
                </c:pt>
                <c:pt idx="16">
                  <c:v>200000</c:v>
                </c:pt>
                <c:pt idx="17">
                  <c:v>135000</c:v>
                </c:pt>
                <c:pt idx="18">
                  <c:v>30000</c:v>
                </c:pt>
                <c:pt idx="19">
                  <c:v>200000</c:v>
                </c:pt>
                <c:pt idx="20">
                  <c:v>18000</c:v>
                </c:pt>
                <c:pt idx="21">
                  <c:v>27000</c:v>
                </c:pt>
                <c:pt idx="22">
                  <c:v>150000</c:v>
                </c:pt>
                <c:pt idx="23">
                  <c:v>22500</c:v>
                </c:pt>
                <c:pt idx="24">
                  <c:v>300000</c:v>
                </c:pt>
                <c:pt idx="25">
                  <c:v>120000</c:v>
                </c:pt>
                <c:pt idx="26">
                  <c:v>18000</c:v>
                </c:pt>
                <c:pt idx="27">
                  <c:v>350000</c:v>
                </c:pt>
                <c:pt idx="28">
                  <c:v>30000</c:v>
                </c:pt>
                <c:pt idx="29">
                  <c:v>19000</c:v>
                </c:pt>
                <c:pt idx="30">
                  <c:v>105000</c:v>
                </c:pt>
                <c:pt idx="31">
                  <c:v>27000</c:v>
                </c:pt>
                <c:pt idx="32">
                  <c:v>250000</c:v>
                </c:pt>
                <c:pt idx="33">
                  <c:v>90000</c:v>
                </c:pt>
                <c:pt idx="34">
                  <c:v>22000</c:v>
                </c:pt>
                <c:pt idx="35">
                  <c:v>24000</c:v>
                </c:pt>
                <c:pt idx="36">
                  <c:v>135000</c:v>
                </c:pt>
                <c:pt idx="37">
                  <c:v>200000</c:v>
                </c:pt>
                <c:pt idx="38">
                  <c:v>28000</c:v>
                </c:pt>
                <c:pt idx="39">
                  <c:v>21000</c:v>
                </c:pt>
                <c:pt idx="40">
                  <c:v>120000</c:v>
                </c:pt>
                <c:pt idx="41">
                  <c:v>350000</c:v>
                </c:pt>
                <c:pt idx="42">
                  <c:v>24000</c:v>
                </c:pt>
                <c:pt idx="43">
                  <c:v>28500</c:v>
                </c:pt>
                <c:pt idx="44">
                  <c:v>75000</c:v>
                </c:pt>
                <c:pt idx="45">
                  <c:v>150000</c:v>
                </c:pt>
                <c:pt idx="46">
                  <c:v>26000</c:v>
                </c:pt>
                <c:pt idx="47">
                  <c:v>25500</c:v>
                </c:pt>
              </c:numCache>
            </c:numRef>
          </c:val>
          <c:extLst>
            <c:ext xmlns:c16="http://schemas.microsoft.com/office/drawing/2014/chart" uri="{C3380CC4-5D6E-409C-BE32-E72D297353CC}">
              <c16:uniqueId val="{00000000-62E4-4627-AAF1-5AD8D403C618}"/>
            </c:ext>
          </c:extLst>
        </c:ser>
        <c:dLbls>
          <c:showLegendKey val="0"/>
          <c:showVal val="0"/>
          <c:showCatName val="0"/>
          <c:showSerName val="0"/>
          <c:showPercent val="0"/>
          <c:showBubbleSize val="0"/>
        </c:dLbls>
        <c:gapWidth val="315"/>
        <c:overlap val="-40"/>
        <c:axId val="1932426176"/>
        <c:axId val="1813033744"/>
      </c:barChart>
      <c:catAx>
        <c:axId val="1932426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3033744"/>
        <c:crosses val="autoZero"/>
        <c:auto val="1"/>
        <c:lblAlgn val="ctr"/>
        <c:lblOffset val="100"/>
        <c:noMultiLvlLbl val="0"/>
      </c:catAx>
      <c:valAx>
        <c:axId val="1813033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24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5</xdr:col>
      <xdr:colOff>167899</xdr:colOff>
      <xdr:row>35</xdr:row>
      <xdr:rowOff>31316</xdr:rowOff>
    </xdr:to>
    <xdr:graphicFrame macro="">
      <xdr:nvGraphicFramePr>
        <xdr:cNvPr id="13" name="Chart 12">
          <a:extLst>
            <a:ext uri="{FF2B5EF4-FFF2-40B4-BE49-F238E27FC236}">
              <a16:creationId xmlns:a16="http://schemas.microsoft.com/office/drawing/2014/main" id="{1611C069-1338-4390-9C92-6B27DCF8D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142068</xdr:colOff>
      <xdr:row>23</xdr:row>
      <xdr:rowOff>19050</xdr:rowOff>
    </xdr:from>
    <xdr:to>
      <xdr:col>11</xdr:col>
      <xdr:colOff>136078</xdr:colOff>
      <xdr:row>35</xdr:row>
      <xdr:rowOff>29490</xdr:rowOff>
    </xdr:to>
    <xdr:graphicFrame macro="">
      <xdr:nvGraphicFramePr>
        <xdr:cNvPr id="14" name="Chart 13">
          <a:extLst>
            <a:ext uri="{FF2B5EF4-FFF2-40B4-BE49-F238E27FC236}">
              <a16:creationId xmlns:a16="http://schemas.microsoft.com/office/drawing/2014/main" id="{96266D71-28E8-43A9-A322-56D287345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5</xdr:col>
      <xdr:colOff>232475</xdr:colOff>
      <xdr:row>51</xdr:row>
      <xdr:rowOff>19834</xdr:rowOff>
    </xdr:to>
    <xdr:graphicFrame macro="">
      <xdr:nvGraphicFramePr>
        <xdr:cNvPr id="15" name="Chart 14">
          <a:extLst>
            <a:ext uri="{FF2B5EF4-FFF2-40B4-BE49-F238E27FC236}">
              <a16:creationId xmlns:a16="http://schemas.microsoft.com/office/drawing/2014/main" id="{B523D1EF-9342-4DB2-96A9-C9D3AFF25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180814</xdr:colOff>
      <xdr:row>38</xdr:row>
      <xdr:rowOff>174626</xdr:rowOff>
    </xdr:from>
    <xdr:to>
      <xdr:col>11</xdr:col>
      <xdr:colOff>127001</xdr:colOff>
      <xdr:row>51</xdr:row>
      <xdr:rowOff>15876</xdr:rowOff>
    </xdr:to>
    <xdr:graphicFrame macro="">
      <xdr:nvGraphicFramePr>
        <xdr:cNvPr id="16" name="Chart 15">
          <a:extLst>
            <a:ext uri="{FF2B5EF4-FFF2-40B4-BE49-F238E27FC236}">
              <a16:creationId xmlns:a16="http://schemas.microsoft.com/office/drawing/2014/main" id="{EC0B8848-AB5D-4B0C-BF3E-21D447F28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0</xdr:rowOff>
    </xdr:from>
    <xdr:to>
      <xdr:col>2</xdr:col>
      <xdr:colOff>90874</xdr:colOff>
      <xdr:row>14</xdr:row>
      <xdr:rowOff>35719</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432CACAF-5F75-43A2-9D5B-8CD29DBDAB4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658471"/>
              <a:ext cx="1794168" cy="1470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970768</xdr:colOff>
      <xdr:row>6</xdr:row>
      <xdr:rowOff>0</xdr:rowOff>
    </xdr:from>
    <xdr:to>
      <xdr:col>6</xdr:col>
      <xdr:colOff>356522</xdr:colOff>
      <xdr:row>11</xdr:row>
      <xdr:rowOff>95250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CA7084D9-E109-47E9-BB6B-0EA9D60AFFD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73944" y="1658471"/>
              <a:ext cx="1828637" cy="991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750093</xdr:colOff>
      <xdr:row>5</xdr:row>
      <xdr:rowOff>166687</xdr:rowOff>
    </xdr:from>
    <xdr:to>
      <xdr:col>10</xdr:col>
      <xdr:colOff>743144</xdr:colOff>
      <xdr:row>17</xdr:row>
      <xdr:rowOff>164968</xdr:rowOff>
    </xdr:to>
    <mc:AlternateContent xmlns:mc="http://schemas.openxmlformats.org/markup-compatibility/2006" xmlns:a14="http://schemas.microsoft.com/office/drawing/2010/main">
      <mc:Choice Requires="a14">
        <xdr:graphicFrame macro="">
          <xdr:nvGraphicFramePr>
            <xdr:cNvPr id="19" name="Location 1">
              <a:extLst>
                <a:ext uri="{FF2B5EF4-FFF2-40B4-BE49-F238E27FC236}">
                  <a16:creationId xmlns:a16="http://schemas.microsoft.com/office/drawing/2014/main" id="{98D2AC29-CB79-442A-8F5D-E797C214357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078740" y="1645863"/>
              <a:ext cx="1808404" cy="214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22013</xdr:colOff>
      <xdr:row>21</xdr:row>
      <xdr:rowOff>138007</xdr:rowOff>
    </xdr:from>
    <xdr:to>
      <xdr:col>11</xdr:col>
      <xdr:colOff>9313</xdr:colOff>
      <xdr:row>32</xdr:row>
      <xdr:rowOff>91440</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1173249A-6432-1AF2-89DF-1D88B5EEAA7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190653" y="4283287"/>
              <a:ext cx="1816100" cy="2010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14</xdr:row>
      <xdr:rowOff>22861</xdr:rowOff>
    </xdr:from>
    <xdr:to>
      <xdr:col>11</xdr:col>
      <xdr:colOff>7620</xdr:colOff>
      <xdr:row>18</xdr:row>
      <xdr:rowOff>167641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D4205F5-BA76-307D-8184-9C7A932864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76260" y="284226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2</xdr:row>
      <xdr:rowOff>220981</xdr:rowOff>
    </xdr:from>
    <xdr:to>
      <xdr:col>11</xdr:col>
      <xdr:colOff>22860</xdr:colOff>
      <xdr:row>11</xdr:row>
      <xdr:rowOff>15241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A753C33-783F-A483-8C51-2979FD58004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91500" y="80010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T" refreshedDate="46272.525651157404" createdVersion="8" refreshedVersion="8" minRefreshableVersion="3" recordCount="48" xr:uid="{3A16DE8A-33EC-427B-97ED-FF744A74477F}">
  <cacheSource type="worksheet">
    <worksheetSource ref="A1:H49" sheet="Sales Data"/>
  </cacheSource>
  <cacheFields count="8">
    <cacheField name="Date" numFmtId="0">
      <sharedItems count="48">
        <s v="01.01.2026"/>
        <s v="02.01.2026"/>
        <s v="03.01.2026"/>
        <s v="04.01.2026"/>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 v="31.01.2026"/>
        <s v="01.02.2026"/>
        <s v="02.02.2026"/>
        <s v="03.02.2026"/>
        <s v="04.02.2026"/>
        <s v="05.02.2026"/>
        <s v="06.02.2026"/>
        <s v="07.02.2026"/>
        <s v="08.02.2026"/>
        <s v="09.02.2026"/>
        <s v="10.02.2026"/>
        <s v="11.02.2026"/>
        <s v="12.02.2026"/>
        <s v="13.02.2026"/>
        <s v="14.02.2026"/>
        <s v="15.02.2026"/>
        <s v="16.02.2026"/>
        <s v="17.02.2026"/>
      </sharedItems>
    </cacheField>
    <cacheField name="Product" numFmtId="0">
      <sharedItems count="4">
        <s v="Laptop"/>
        <s v="Mouse"/>
        <s v="Keyboard"/>
        <s v="Monitor"/>
      </sharedItems>
    </cacheField>
    <cacheField name="Category" numFmtId="0">
      <sharedItems count="2">
        <s v="Electronics"/>
        <s v="Accessories"/>
      </sharedItems>
    </cacheField>
    <cacheField name="Location" numFmtId="0">
      <sharedItems count="6">
        <s v="Chennai"/>
        <s v="Trichy"/>
        <s v="Madurai"/>
        <s v="Theni"/>
        <s v="Erode"/>
        <s v="Salem"/>
      </sharedItems>
    </cacheField>
    <cacheField name="Salesperson" numFmtId="0">
      <sharedItems/>
    </cacheField>
    <cacheField name="Units Sold" numFmtId="0">
      <sharedItems containsSemiMixedTypes="0" containsString="0" containsNumber="1" containsInteger="1" minValue="3" maxValue="30" count="27">
        <n v="5"/>
        <n v="20"/>
        <n v="15"/>
        <n v="8"/>
        <n v="3"/>
        <n v="25"/>
        <n v="18"/>
        <n v="6"/>
        <n v="4"/>
        <n v="30"/>
        <n v="12"/>
        <n v="10"/>
        <n v="7"/>
        <n v="22"/>
        <n v="16"/>
        <n v="9"/>
        <n v="28"/>
        <n v="14"/>
        <n v="24"/>
        <n v="19"/>
        <n v="26"/>
        <n v="17"/>
        <n v="11"/>
        <n v="21"/>
        <n v="13"/>
        <n v="23"/>
        <n v="27"/>
      </sharedItems>
    </cacheField>
    <cacheField name="Revenue" numFmtId="0">
      <sharedItems containsSemiMixedTypes="0" containsString="0" containsNumber="1" containsInteger="1" minValue="18000" maxValue="350000"/>
    </cacheField>
    <cacheField name="Profit" numFmtId="0">
      <sharedItems containsSemiMixedTypes="0" containsString="0" containsNumber="1" containsInteger="1" minValue="3600" maxValue="52500"/>
    </cacheField>
  </cacheFields>
  <extLst>
    <ext xmlns:x14="http://schemas.microsoft.com/office/spreadsheetml/2009/9/main" uri="{725AE2AE-9491-48be-B2B4-4EB974FC3084}">
      <x14:pivotCacheDefinition pivotCacheId="352975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s v="Arun"/>
    <x v="0"/>
    <n v="250000"/>
    <n v="37500"/>
  </r>
  <r>
    <x v="1"/>
    <x v="1"/>
    <x v="1"/>
    <x v="1"/>
    <s v="Priya"/>
    <x v="1"/>
    <n v="20000"/>
    <n v="4000"/>
  </r>
  <r>
    <x v="2"/>
    <x v="2"/>
    <x v="1"/>
    <x v="2"/>
    <s v="Karthik"/>
    <x v="2"/>
    <n v="22500"/>
    <n v="4500"/>
  </r>
  <r>
    <x v="3"/>
    <x v="3"/>
    <x v="0"/>
    <x v="3"/>
    <s v="Divya"/>
    <x v="3"/>
    <n v="120000"/>
    <n v="18000"/>
  </r>
  <r>
    <x v="4"/>
    <x v="0"/>
    <x v="0"/>
    <x v="4"/>
    <s v="Arun"/>
    <x v="4"/>
    <n v="150000"/>
    <n v="22500"/>
  </r>
  <r>
    <x v="5"/>
    <x v="1"/>
    <x v="1"/>
    <x v="5"/>
    <s v="Priya"/>
    <x v="5"/>
    <n v="25000"/>
    <n v="5000"/>
  </r>
  <r>
    <x v="6"/>
    <x v="2"/>
    <x v="1"/>
    <x v="0"/>
    <s v="Karthik"/>
    <x v="6"/>
    <n v="27000"/>
    <n v="5400"/>
  </r>
  <r>
    <x v="7"/>
    <x v="3"/>
    <x v="0"/>
    <x v="1"/>
    <s v="Divya"/>
    <x v="7"/>
    <n v="90000"/>
    <n v="13500"/>
  </r>
  <r>
    <x v="8"/>
    <x v="0"/>
    <x v="0"/>
    <x v="2"/>
    <s v="Arun"/>
    <x v="8"/>
    <n v="200000"/>
    <n v="30000"/>
  </r>
  <r>
    <x v="9"/>
    <x v="1"/>
    <x v="1"/>
    <x v="3"/>
    <s v="Priya"/>
    <x v="9"/>
    <n v="30000"/>
    <n v="6000"/>
  </r>
  <r>
    <x v="10"/>
    <x v="2"/>
    <x v="1"/>
    <x v="4"/>
    <s v="Karthik"/>
    <x v="10"/>
    <n v="18000"/>
    <n v="3600"/>
  </r>
  <r>
    <x v="11"/>
    <x v="3"/>
    <x v="0"/>
    <x v="5"/>
    <s v="Divya"/>
    <x v="11"/>
    <n v="150000"/>
    <n v="22500"/>
  </r>
  <r>
    <x v="12"/>
    <x v="0"/>
    <x v="0"/>
    <x v="0"/>
    <s v="Arun"/>
    <x v="7"/>
    <n v="300000"/>
    <n v="45000"/>
  </r>
  <r>
    <x v="13"/>
    <x v="1"/>
    <x v="1"/>
    <x v="1"/>
    <s v="Priya"/>
    <x v="6"/>
    <n v="18000"/>
    <n v="3600"/>
  </r>
  <r>
    <x v="14"/>
    <x v="2"/>
    <x v="1"/>
    <x v="2"/>
    <s v="Karthik"/>
    <x v="1"/>
    <n v="30000"/>
    <n v="6000"/>
  </r>
  <r>
    <x v="15"/>
    <x v="3"/>
    <x v="0"/>
    <x v="3"/>
    <s v="Divya"/>
    <x v="12"/>
    <n v="105000"/>
    <n v="15750"/>
  </r>
  <r>
    <x v="16"/>
    <x v="0"/>
    <x v="0"/>
    <x v="4"/>
    <s v="Arun"/>
    <x v="0"/>
    <n v="250000"/>
    <n v="37500"/>
  </r>
  <r>
    <x v="17"/>
    <x v="1"/>
    <x v="1"/>
    <x v="5"/>
    <s v="Priya"/>
    <x v="13"/>
    <n v="22000"/>
    <n v="4400"/>
  </r>
  <r>
    <x v="18"/>
    <x v="2"/>
    <x v="1"/>
    <x v="0"/>
    <s v="Karthik"/>
    <x v="14"/>
    <n v="24000"/>
    <n v="4800"/>
  </r>
  <r>
    <x v="19"/>
    <x v="3"/>
    <x v="0"/>
    <x v="1"/>
    <s v="Divya"/>
    <x v="15"/>
    <n v="135000"/>
    <n v="20250"/>
  </r>
  <r>
    <x v="20"/>
    <x v="0"/>
    <x v="0"/>
    <x v="2"/>
    <s v="Arun"/>
    <x v="8"/>
    <n v="200000"/>
    <n v="30000"/>
  </r>
  <r>
    <x v="21"/>
    <x v="1"/>
    <x v="1"/>
    <x v="3"/>
    <s v="Priya"/>
    <x v="16"/>
    <n v="28000"/>
    <n v="5600"/>
  </r>
  <r>
    <x v="22"/>
    <x v="2"/>
    <x v="1"/>
    <x v="4"/>
    <s v="Karthik"/>
    <x v="17"/>
    <n v="21000"/>
    <n v="4200"/>
  </r>
  <r>
    <x v="23"/>
    <x v="3"/>
    <x v="0"/>
    <x v="5"/>
    <s v="Divya"/>
    <x v="3"/>
    <n v="120000"/>
    <n v="18000"/>
  </r>
  <r>
    <x v="24"/>
    <x v="0"/>
    <x v="0"/>
    <x v="0"/>
    <s v="Arun"/>
    <x v="12"/>
    <n v="350000"/>
    <n v="52500"/>
  </r>
  <r>
    <x v="25"/>
    <x v="1"/>
    <x v="1"/>
    <x v="1"/>
    <s v="Priya"/>
    <x v="18"/>
    <n v="24000"/>
    <n v="4800"/>
  </r>
  <r>
    <x v="26"/>
    <x v="2"/>
    <x v="1"/>
    <x v="2"/>
    <s v="Karthik"/>
    <x v="19"/>
    <n v="28500"/>
    <n v="5700"/>
  </r>
  <r>
    <x v="27"/>
    <x v="3"/>
    <x v="0"/>
    <x v="3"/>
    <s v="Divya"/>
    <x v="0"/>
    <n v="75000"/>
    <n v="11250"/>
  </r>
  <r>
    <x v="28"/>
    <x v="0"/>
    <x v="0"/>
    <x v="4"/>
    <s v="Arun"/>
    <x v="4"/>
    <n v="150000"/>
    <n v="22500"/>
  </r>
  <r>
    <x v="29"/>
    <x v="1"/>
    <x v="1"/>
    <x v="5"/>
    <s v="Priya"/>
    <x v="20"/>
    <n v="26000"/>
    <n v="5200"/>
  </r>
  <r>
    <x v="30"/>
    <x v="2"/>
    <x v="1"/>
    <x v="0"/>
    <s v="Karthik"/>
    <x v="21"/>
    <n v="25500"/>
    <n v="5100"/>
  </r>
  <r>
    <x v="31"/>
    <x v="3"/>
    <x v="0"/>
    <x v="1"/>
    <s v="Divya"/>
    <x v="22"/>
    <n v="165000"/>
    <n v="24750"/>
  </r>
  <r>
    <x v="32"/>
    <x v="0"/>
    <x v="0"/>
    <x v="2"/>
    <s v="Arun"/>
    <x v="7"/>
    <n v="300000"/>
    <n v="45000"/>
  </r>
  <r>
    <x v="33"/>
    <x v="1"/>
    <x v="1"/>
    <x v="3"/>
    <s v="Priya"/>
    <x v="23"/>
    <n v="21000"/>
    <n v="4200"/>
  </r>
  <r>
    <x v="34"/>
    <x v="2"/>
    <x v="1"/>
    <x v="4"/>
    <s v="Karthik"/>
    <x v="24"/>
    <n v="19500"/>
    <n v="3900"/>
  </r>
  <r>
    <x v="35"/>
    <x v="3"/>
    <x v="0"/>
    <x v="5"/>
    <s v="Divya"/>
    <x v="12"/>
    <n v="105000"/>
    <n v="15750"/>
  </r>
  <r>
    <x v="36"/>
    <x v="0"/>
    <x v="0"/>
    <x v="0"/>
    <s v="Arun"/>
    <x v="0"/>
    <n v="250000"/>
    <n v="37500"/>
  </r>
  <r>
    <x v="37"/>
    <x v="1"/>
    <x v="1"/>
    <x v="1"/>
    <s v="Priya"/>
    <x v="25"/>
    <n v="23000"/>
    <n v="4600"/>
  </r>
  <r>
    <x v="38"/>
    <x v="2"/>
    <x v="1"/>
    <x v="2"/>
    <s v="Karthik"/>
    <x v="14"/>
    <n v="24000"/>
    <n v="4800"/>
  </r>
  <r>
    <x v="39"/>
    <x v="3"/>
    <x v="0"/>
    <x v="3"/>
    <s v="Divya"/>
    <x v="15"/>
    <n v="135000"/>
    <n v="20250"/>
  </r>
  <r>
    <x v="40"/>
    <x v="0"/>
    <x v="0"/>
    <x v="4"/>
    <s v="Arun"/>
    <x v="8"/>
    <n v="200000"/>
    <n v="30000"/>
  </r>
  <r>
    <x v="41"/>
    <x v="1"/>
    <x v="1"/>
    <x v="5"/>
    <s v="Priya"/>
    <x v="26"/>
    <n v="27000"/>
    <n v="5400"/>
  </r>
  <r>
    <x v="42"/>
    <x v="2"/>
    <x v="1"/>
    <x v="0"/>
    <s v="Karthik"/>
    <x v="2"/>
    <n v="22500"/>
    <n v="4500"/>
  </r>
  <r>
    <x v="43"/>
    <x v="3"/>
    <x v="0"/>
    <x v="1"/>
    <s v="Divya"/>
    <x v="3"/>
    <n v="120000"/>
    <n v="18000"/>
  </r>
  <r>
    <x v="44"/>
    <x v="0"/>
    <x v="0"/>
    <x v="2"/>
    <s v="Arun"/>
    <x v="12"/>
    <n v="350000"/>
    <n v="52500"/>
  </r>
  <r>
    <x v="45"/>
    <x v="1"/>
    <x v="1"/>
    <x v="3"/>
    <s v="Priya"/>
    <x v="19"/>
    <n v="19000"/>
    <n v="3800"/>
  </r>
  <r>
    <x v="46"/>
    <x v="2"/>
    <x v="1"/>
    <x v="4"/>
    <s v="Karthik"/>
    <x v="6"/>
    <n v="27000"/>
    <n v="5400"/>
  </r>
  <r>
    <x v="47"/>
    <x v="3"/>
    <x v="0"/>
    <x v="5"/>
    <s v="Divya"/>
    <x v="7"/>
    <n v="90000"/>
    <n v="13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19D55-4DFD-4A59-BE68-67A913755CE4}"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A17:B22" firstHeaderRow="1" firstDataRow="1" firstDataCol="1"/>
  <pivotFields count="8">
    <pivotField showAll="0"/>
    <pivotField axis="axisRow" showAll="0">
      <items count="5">
        <item x="2"/>
        <item x="0"/>
        <item x="3"/>
        <item x="1"/>
        <item t="default"/>
      </items>
    </pivotField>
    <pivotField showAll="0">
      <items count="3">
        <item x="1"/>
        <item x="0"/>
        <item t="default"/>
      </items>
    </pivotField>
    <pivotField showAll="0">
      <items count="7">
        <item x="0"/>
        <item x="4"/>
        <item x="2"/>
        <item x="5"/>
        <item x="3"/>
        <item x="1"/>
        <item t="default"/>
      </items>
    </pivotField>
    <pivotField showAll="0"/>
    <pivotField showAll="0"/>
    <pivotField dataField="1" showAll="0"/>
    <pivotField showAll="0"/>
  </pivotFields>
  <rowFields count="1">
    <field x="1"/>
  </rowFields>
  <rowItems count="5">
    <i>
      <x/>
    </i>
    <i>
      <x v="1"/>
    </i>
    <i>
      <x v="2"/>
    </i>
    <i>
      <x v="3"/>
    </i>
    <i t="grand">
      <x/>
    </i>
  </rowItems>
  <colItems count="1">
    <i/>
  </colItems>
  <dataFields count="1">
    <dataField name="Total Revenue" fld="6" baseField="1" baseItem="0" numFmtId="167"/>
  </dataFields>
  <formats count="6">
    <format dxfId="187">
      <pivotArea type="all" dataOnly="0" outline="0" fieldPosition="0"/>
    </format>
    <format dxfId="186">
      <pivotArea outline="0" collapsedLevelsAreSubtotals="1" fieldPosition="0"/>
    </format>
    <format dxfId="185">
      <pivotArea field="1" type="button" dataOnly="0" labelOnly="1" outline="0" axis="axisRow"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E7096-91F6-42CE-AB18-C4B98C7CE908}" name="Revenue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Location">
  <location ref="A5:B12" firstHeaderRow="1" firstDataRow="1" firstDataCol="1"/>
  <pivotFields count="8">
    <pivotField showAll="0"/>
    <pivotField showAll="0">
      <items count="5">
        <item x="2"/>
        <item x="0"/>
        <item x="3"/>
        <item x="1"/>
        <item t="default"/>
      </items>
    </pivotField>
    <pivotField showAll="0">
      <items count="3">
        <item x="1"/>
        <item x="0"/>
        <item t="default"/>
      </items>
    </pivotField>
    <pivotField axis="axisRow" showAll="0">
      <items count="7">
        <item x="0"/>
        <item x="4"/>
        <item x="2"/>
        <item x="5"/>
        <item x="3"/>
        <item x="1"/>
        <item t="default"/>
      </items>
    </pivotField>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Total Revenue" fld="6" baseField="3" baseItem="0" numFmtId="167"/>
  </dataFields>
  <formats count="8">
    <format dxfId="195">
      <pivotArea collapsedLevelsAreSubtotals="1" fieldPosition="0">
        <references count="1">
          <reference field="3" count="0"/>
        </references>
      </pivotArea>
    </format>
    <format dxfId="194">
      <pivotArea dataOnly="0" labelOnly="1" fieldPosition="0">
        <references count="1">
          <reference field="3" count="0"/>
        </references>
      </pivotArea>
    </format>
    <format dxfId="193">
      <pivotArea type="all" dataOnly="0" outline="0" fieldPosition="0"/>
    </format>
    <format dxfId="192">
      <pivotArea outline="0" collapsedLevelsAreSubtotals="1" fieldPosition="0"/>
    </format>
    <format dxfId="191">
      <pivotArea field="3" type="button" dataOnly="0" labelOnly="1" outline="0" axis="axisRow" fieldPosition="0"/>
    </format>
    <format dxfId="190">
      <pivotArea dataOnly="0" labelOnly="1" fieldPosition="0">
        <references count="1">
          <reference field="3" count="0"/>
        </references>
      </pivotArea>
    </format>
    <format dxfId="189">
      <pivotArea dataOnly="0" labelOnly="1" grandRow="1" outline="0" fieldPosition="0"/>
    </format>
    <format dxfId="188">
      <pivotArea dataOnly="0" labelOnly="1" outline="0" axis="axisValues" fieldPosition="0"/>
    </format>
  </formats>
  <chartFormats count="3">
    <chartFormat chart="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DA579-76F1-49F4-A4C2-113FB5724E7C}" name="Daily Revenu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ate">
  <location ref="D5:E54" firstHeaderRow="1" firstDataRow="1" firstDataCol="1"/>
  <pivotFields count="8">
    <pivotField axis="axisRow" showAll="0">
      <items count="49">
        <item x="0"/>
        <item x="31"/>
        <item x="1"/>
        <item x="32"/>
        <item x="2"/>
        <item x="33"/>
        <item x="3"/>
        <item x="34"/>
        <item x="4"/>
        <item x="35"/>
        <item x="5"/>
        <item x="36"/>
        <item x="6"/>
        <item x="37"/>
        <item x="7"/>
        <item x="38"/>
        <item x="8"/>
        <item x="39"/>
        <item x="9"/>
        <item x="40"/>
        <item x="10"/>
        <item x="41"/>
        <item x="11"/>
        <item x="42"/>
        <item x="12"/>
        <item x="43"/>
        <item x="13"/>
        <item x="44"/>
        <item x="14"/>
        <item x="45"/>
        <item x="15"/>
        <item x="46"/>
        <item x="16"/>
        <item x="47"/>
        <item x="17"/>
        <item x="18"/>
        <item x="19"/>
        <item x="20"/>
        <item x="21"/>
        <item x="22"/>
        <item x="23"/>
        <item x="24"/>
        <item x="25"/>
        <item x="26"/>
        <item x="27"/>
        <item x="28"/>
        <item x="29"/>
        <item x="30"/>
        <item t="default"/>
      </items>
    </pivotField>
    <pivotField showAll="0">
      <items count="5">
        <item x="2"/>
        <item x="0"/>
        <item x="3"/>
        <item x="1"/>
        <item t="default"/>
      </items>
    </pivotField>
    <pivotField showAll="0">
      <items count="3">
        <item x="1"/>
        <item x="0"/>
        <item t="default"/>
      </items>
    </pivotField>
    <pivotField showAll="0">
      <items count="7">
        <item x="0"/>
        <item x="4"/>
        <item x="2"/>
        <item x="5"/>
        <item x="3"/>
        <item x="1"/>
        <item t="default"/>
      </items>
    </pivotField>
    <pivotField showAll="0"/>
    <pivotField showAll="0"/>
    <pivotField dataField="1" showAll="0"/>
    <pivotField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Total Revenue" fld="6" baseField="0" baseItem="0" numFmtId="167"/>
  </dataFields>
  <formats count="6">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axis="axisValues" fieldPosition="0"/>
    </format>
  </formats>
  <chartFormats count="3">
    <chartFormat chart="6"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D68984-B044-4A51-8BCB-57E6AE057201}" name="Profit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Location">
  <location ref="A27:B34" firstHeaderRow="1" firstDataRow="1" firstDataCol="1"/>
  <pivotFields count="8">
    <pivotField showAll="0"/>
    <pivotField showAll="0">
      <items count="5">
        <item x="2"/>
        <item x="0"/>
        <item x="3"/>
        <item x="1"/>
        <item t="default"/>
      </items>
    </pivotField>
    <pivotField showAll="0">
      <items count="3">
        <item x="1"/>
        <item x="0"/>
        <item t="default"/>
      </items>
    </pivotField>
    <pivotField axis="axisRow" showAll="0">
      <items count="7">
        <item x="0"/>
        <item x="4"/>
        <item x="2"/>
        <item x="5"/>
        <item x="3"/>
        <item x="1"/>
        <item t="default"/>
      </items>
    </pivotField>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Total Profit" fld="7" baseField="3" baseItem="0" numFmtId="167"/>
  </dataFields>
  <formats count="6">
    <format dxfId="207">
      <pivotArea type="all" dataOnly="0" outline="0" fieldPosition="0"/>
    </format>
    <format dxfId="206">
      <pivotArea outline="0" collapsedLevelsAreSubtotals="1" fieldPosition="0"/>
    </format>
    <format dxfId="205">
      <pivotArea field="3" type="button" dataOnly="0" labelOnly="1" outline="0" axis="axisRow" fieldPosition="0"/>
    </format>
    <format dxfId="204">
      <pivotArea dataOnly="0" labelOnly="1" fieldPosition="0">
        <references count="1">
          <reference field="3" count="0"/>
        </references>
      </pivotArea>
    </format>
    <format dxfId="203">
      <pivotArea dataOnly="0" labelOnly="1" grandRow="1" outline="0" fieldPosition="0"/>
    </format>
    <format dxfId="202">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7EF8B75-1699-4560-A6EA-7DDF0188E885}" sourceName="Location">
  <pivotTables>
    <pivotTable tabId="4" name="Revenue by Location"/>
    <pivotTable tabId="4" name="Daily Revenue Trend"/>
    <pivotTable tabId="4" name="Profit by Location"/>
    <pivotTable tabId="4" name="Revenue by Product"/>
  </pivotTables>
  <data>
    <tabular pivotCacheId="352975460">
      <items count="6">
        <i x="0" s="1"/>
        <i x="4" s="1"/>
        <i x="2"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75E34F-7CBA-4EA7-B424-4BE0212F0569}" sourceName="Category">
  <pivotTables>
    <pivotTable tabId="4" name="Revenue by Product"/>
    <pivotTable tabId="4" name="Daily Revenue Trend"/>
    <pivotTable tabId="4" name="Profit by Location"/>
    <pivotTable tabId="4" name="Revenue by Location"/>
  </pivotTables>
  <data>
    <tabular pivotCacheId="35297546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E7676CA-CFA0-4507-83E2-FAEBA0E8EF50}" sourceName="Product">
  <pivotTables>
    <pivotTable tabId="4" name="Revenue by Product"/>
    <pivotTable tabId="4" name="Daily Revenue Trend"/>
    <pivotTable tabId="4" name="Profit by Location"/>
    <pivotTable tabId="4" name="Revenue by Location"/>
  </pivotTables>
  <data>
    <tabular pivotCacheId="352975460">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65253B81-306C-47D1-97FC-E6FF75C6BA5A}" cache="Slicer_Location" caption="Location" rowHeight="247650"/>
  <slicer name="Category 1" xr10:uid="{3FB5D5DC-9048-409E-A781-CAFC0498329C}" cache="Slicer_Category" caption="Category" rowHeight="247650"/>
  <slicer name="Product 1" xr10:uid="{389B2EB0-60CA-4116-91BF-850E80EBABA4}"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390082E-8E7A-4226-821C-176E763EDEF0}" cache="Slicer_Location" caption="Location" rowHeight="247650"/>
  <slicer name="Category" xr10:uid="{E38BB5CD-F2C0-441B-897C-C25970CBCFEA}" cache="Slicer_Category" caption="Category" rowHeight="247650"/>
  <slicer name="Product" xr10:uid="{9F0B4355-A0AC-4873-BCE9-1C9AF2E047AD}"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22FE-C177-41A4-8D34-D743175846E8}">
  <dimension ref="A1:H49"/>
  <sheetViews>
    <sheetView zoomScale="93" workbookViewId="0">
      <selection activeCell="E16" sqref="E16"/>
    </sheetView>
  </sheetViews>
  <sheetFormatPr defaultRowHeight="14.4" x14ac:dyDescent="0.3"/>
  <cols>
    <col min="1" max="1" width="10.5546875" customWidth="1"/>
    <col min="3" max="3" width="12.6640625" customWidth="1"/>
    <col min="5" max="5" width="1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5</v>
      </c>
      <c r="G2">
        <v>250000</v>
      </c>
      <c r="H2">
        <v>37500</v>
      </c>
    </row>
    <row r="3" spans="1:8" x14ac:dyDescent="0.3">
      <c r="A3" t="s">
        <v>13</v>
      </c>
      <c r="B3" t="s">
        <v>14</v>
      </c>
      <c r="C3" t="s">
        <v>15</v>
      </c>
      <c r="D3" t="s">
        <v>16</v>
      </c>
      <c r="E3" t="s">
        <v>17</v>
      </c>
      <c r="F3">
        <v>20</v>
      </c>
      <c r="G3">
        <v>20000</v>
      </c>
      <c r="H3">
        <v>4000</v>
      </c>
    </row>
    <row r="4" spans="1:8" x14ac:dyDescent="0.3">
      <c r="A4" t="s">
        <v>18</v>
      </c>
      <c r="B4" t="s">
        <v>19</v>
      </c>
      <c r="C4" t="s">
        <v>15</v>
      </c>
      <c r="D4" t="s">
        <v>20</v>
      </c>
      <c r="E4" t="s">
        <v>21</v>
      </c>
      <c r="F4">
        <v>15</v>
      </c>
      <c r="G4">
        <v>22500</v>
      </c>
      <c r="H4">
        <v>4500</v>
      </c>
    </row>
    <row r="5" spans="1:8" x14ac:dyDescent="0.3">
      <c r="A5" t="s">
        <v>22</v>
      </c>
      <c r="B5" t="s">
        <v>23</v>
      </c>
      <c r="C5" t="s">
        <v>10</v>
      </c>
      <c r="D5" t="s">
        <v>24</v>
      </c>
      <c r="E5" t="s">
        <v>25</v>
      </c>
      <c r="F5">
        <v>8</v>
      </c>
      <c r="G5">
        <v>120000</v>
      </c>
      <c r="H5">
        <v>18000</v>
      </c>
    </row>
    <row r="6" spans="1:8" x14ac:dyDescent="0.3">
      <c r="A6" t="s">
        <v>26</v>
      </c>
      <c r="B6" t="s">
        <v>9</v>
      </c>
      <c r="C6" t="s">
        <v>10</v>
      </c>
      <c r="D6" t="s">
        <v>27</v>
      </c>
      <c r="E6" t="s">
        <v>12</v>
      </c>
      <c r="F6">
        <v>3</v>
      </c>
      <c r="G6">
        <v>150000</v>
      </c>
      <c r="H6">
        <v>22500</v>
      </c>
    </row>
    <row r="7" spans="1:8" x14ac:dyDescent="0.3">
      <c r="A7" t="s">
        <v>28</v>
      </c>
      <c r="B7" t="s">
        <v>14</v>
      </c>
      <c r="C7" t="s">
        <v>15</v>
      </c>
      <c r="D7" t="s">
        <v>29</v>
      </c>
      <c r="E7" t="s">
        <v>17</v>
      </c>
      <c r="F7">
        <v>25</v>
      </c>
      <c r="G7">
        <v>25000</v>
      </c>
      <c r="H7">
        <v>5000</v>
      </c>
    </row>
    <row r="8" spans="1:8" x14ac:dyDescent="0.3">
      <c r="A8" t="s">
        <v>30</v>
      </c>
      <c r="B8" t="s">
        <v>19</v>
      </c>
      <c r="C8" t="s">
        <v>15</v>
      </c>
      <c r="D8" t="s">
        <v>11</v>
      </c>
      <c r="E8" t="s">
        <v>21</v>
      </c>
      <c r="F8">
        <v>18</v>
      </c>
      <c r="G8">
        <v>27000</v>
      </c>
      <c r="H8">
        <v>5400</v>
      </c>
    </row>
    <row r="9" spans="1:8" x14ac:dyDescent="0.3">
      <c r="A9" t="s">
        <v>31</v>
      </c>
      <c r="B9" t="s">
        <v>23</v>
      </c>
      <c r="C9" t="s">
        <v>10</v>
      </c>
      <c r="D9" t="s">
        <v>16</v>
      </c>
      <c r="E9" t="s">
        <v>25</v>
      </c>
      <c r="F9">
        <v>6</v>
      </c>
      <c r="G9">
        <v>90000</v>
      </c>
      <c r="H9">
        <v>13500</v>
      </c>
    </row>
    <row r="10" spans="1:8" x14ac:dyDescent="0.3">
      <c r="A10" t="s">
        <v>32</v>
      </c>
      <c r="B10" t="s">
        <v>9</v>
      </c>
      <c r="C10" t="s">
        <v>10</v>
      </c>
      <c r="D10" t="s">
        <v>20</v>
      </c>
      <c r="E10" t="s">
        <v>12</v>
      </c>
      <c r="F10">
        <v>4</v>
      </c>
      <c r="G10">
        <v>200000</v>
      </c>
      <c r="H10">
        <v>30000</v>
      </c>
    </row>
    <row r="11" spans="1:8" x14ac:dyDescent="0.3">
      <c r="A11" t="s">
        <v>33</v>
      </c>
      <c r="B11" t="s">
        <v>14</v>
      </c>
      <c r="C11" t="s">
        <v>15</v>
      </c>
      <c r="D11" t="s">
        <v>24</v>
      </c>
      <c r="E11" t="s">
        <v>17</v>
      </c>
      <c r="F11">
        <v>30</v>
      </c>
      <c r="G11">
        <v>30000</v>
      </c>
      <c r="H11">
        <v>6000</v>
      </c>
    </row>
    <row r="12" spans="1:8" x14ac:dyDescent="0.3">
      <c r="A12" t="s">
        <v>34</v>
      </c>
      <c r="B12" t="s">
        <v>19</v>
      </c>
      <c r="C12" t="s">
        <v>15</v>
      </c>
      <c r="D12" t="s">
        <v>27</v>
      </c>
      <c r="E12" t="s">
        <v>21</v>
      </c>
      <c r="F12">
        <v>12</v>
      </c>
      <c r="G12">
        <v>18000</v>
      </c>
      <c r="H12">
        <v>3600</v>
      </c>
    </row>
    <row r="13" spans="1:8" x14ac:dyDescent="0.3">
      <c r="A13" t="s">
        <v>35</v>
      </c>
      <c r="B13" t="s">
        <v>23</v>
      </c>
      <c r="C13" t="s">
        <v>10</v>
      </c>
      <c r="D13" t="s">
        <v>29</v>
      </c>
      <c r="E13" t="s">
        <v>25</v>
      </c>
      <c r="F13">
        <v>10</v>
      </c>
      <c r="G13">
        <v>150000</v>
      </c>
      <c r="H13">
        <v>22500</v>
      </c>
    </row>
    <row r="14" spans="1:8" x14ac:dyDescent="0.3">
      <c r="A14" t="s">
        <v>36</v>
      </c>
      <c r="B14" t="s">
        <v>9</v>
      </c>
      <c r="C14" t="s">
        <v>10</v>
      </c>
      <c r="D14" t="s">
        <v>11</v>
      </c>
      <c r="E14" t="s">
        <v>12</v>
      </c>
      <c r="F14">
        <v>6</v>
      </c>
      <c r="G14">
        <v>300000</v>
      </c>
      <c r="H14">
        <v>45000</v>
      </c>
    </row>
    <row r="15" spans="1:8" x14ac:dyDescent="0.3">
      <c r="A15" t="s">
        <v>37</v>
      </c>
      <c r="B15" t="s">
        <v>14</v>
      </c>
      <c r="C15" t="s">
        <v>15</v>
      </c>
      <c r="D15" t="s">
        <v>16</v>
      </c>
      <c r="E15" t="s">
        <v>17</v>
      </c>
      <c r="F15">
        <v>18</v>
      </c>
      <c r="G15">
        <v>18000</v>
      </c>
      <c r="H15">
        <v>3600</v>
      </c>
    </row>
    <row r="16" spans="1:8" x14ac:dyDescent="0.3">
      <c r="A16" t="s">
        <v>38</v>
      </c>
      <c r="B16" t="s">
        <v>19</v>
      </c>
      <c r="C16" t="s">
        <v>15</v>
      </c>
      <c r="D16" t="s">
        <v>20</v>
      </c>
      <c r="E16" t="s">
        <v>21</v>
      </c>
      <c r="F16">
        <v>20</v>
      </c>
      <c r="G16">
        <v>30000</v>
      </c>
      <c r="H16">
        <v>6000</v>
      </c>
    </row>
    <row r="17" spans="1:8" x14ac:dyDescent="0.3">
      <c r="A17" t="s">
        <v>39</v>
      </c>
      <c r="B17" t="s">
        <v>23</v>
      </c>
      <c r="C17" t="s">
        <v>10</v>
      </c>
      <c r="D17" t="s">
        <v>24</v>
      </c>
      <c r="E17" t="s">
        <v>25</v>
      </c>
      <c r="F17">
        <v>7</v>
      </c>
      <c r="G17">
        <v>105000</v>
      </c>
      <c r="H17">
        <v>15750</v>
      </c>
    </row>
    <row r="18" spans="1:8" x14ac:dyDescent="0.3">
      <c r="A18" t="s">
        <v>40</v>
      </c>
      <c r="B18" t="s">
        <v>9</v>
      </c>
      <c r="C18" t="s">
        <v>10</v>
      </c>
      <c r="D18" t="s">
        <v>27</v>
      </c>
      <c r="E18" t="s">
        <v>12</v>
      </c>
      <c r="F18">
        <v>5</v>
      </c>
      <c r="G18">
        <v>250000</v>
      </c>
      <c r="H18">
        <v>37500</v>
      </c>
    </row>
    <row r="19" spans="1:8" x14ac:dyDescent="0.3">
      <c r="A19" t="s">
        <v>41</v>
      </c>
      <c r="B19" t="s">
        <v>14</v>
      </c>
      <c r="C19" t="s">
        <v>15</v>
      </c>
      <c r="D19" t="s">
        <v>29</v>
      </c>
      <c r="E19" t="s">
        <v>17</v>
      </c>
      <c r="F19">
        <v>22</v>
      </c>
      <c r="G19">
        <v>22000</v>
      </c>
      <c r="H19">
        <v>4400</v>
      </c>
    </row>
    <row r="20" spans="1:8" x14ac:dyDescent="0.3">
      <c r="A20" t="s">
        <v>42</v>
      </c>
      <c r="B20" t="s">
        <v>19</v>
      </c>
      <c r="C20" t="s">
        <v>15</v>
      </c>
      <c r="D20" t="s">
        <v>11</v>
      </c>
      <c r="E20" t="s">
        <v>21</v>
      </c>
      <c r="F20">
        <v>16</v>
      </c>
      <c r="G20">
        <v>24000</v>
      </c>
      <c r="H20">
        <v>4800</v>
      </c>
    </row>
    <row r="21" spans="1:8" x14ac:dyDescent="0.3">
      <c r="A21" t="s">
        <v>43</v>
      </c>
      <c r="B21" t="s">
        <v>23</v>
      </c>
      <c r="C21" t="s">
        <v>10</v>
      </c>
      <c r="D21" t="s">
        <v>16</v>
      </c>
      <c r="E21" t="s">
        <v>25</v>
      </c>
      <c r="F21">
        <v>9</v>
      </c>
      <c r="G21">
        <v>135000</v>
      </c>
      <c r="H21">
        <v>20250</v>
      </c>
    </row>
    <row r="22" spans="1:8" x14ac:dyDescent="0.3">
      <c r="A22" t="s">
        <v>44</v>
      </c>
      <c r="B22" t="s">
        <v>9</v>
      </c>
      <c r="C22" t="s">
        <v>10</v>
      </c>
      <c r="D22" t="s">
        <v>20</v>
      </c>
      <c r="E22" t="s">
        <v>12</v>
      </c>
      <c r="F22">
        <v>4</v>
      </c>
      <c r="G22">
        <v>200000</v>
      </c>
      <c r="H22">
        <v>30000</v>
      </c>
    </row>
    <row r="23" spans="1:8" x14ac:dyDescent="0.3">
      <c r="A23" t="s">
        <v>45</v>
      </c>
      <c r="B23" t="s">
        <v>14</v>
      </c>
      <c r="C23" t="s">
        <v>15</v>
      </c>
      <c r="D23" t="s">
        <v>24</v>
      </c>
      <c r="E23" t="s">
        <v>17</v>
      </c>
      <c r="F23">
        <v>28</v>
      </c>
      <c r="G23">
        <v>28000</v>
      </c>
      <c r="H23">
        <v>5600</v>
      </c>
    </row>
    <row r="24" spans="1:8" x14ac:dyDescent="0.3">
      <c r="A24" t="s">
        <v>46</v>
      </c>
      <c r="B24" t="s">
        <v>19</v>
      </c>
      <c r="C24" t="s">
        <v>15</v>
      </c>
      <c r="D24" t="s">
        <v>27</v>
      </c>
      <c r="E24" t="s">
        <v>21</v>
      </c>
      <c r="F24">
        <v>14</v>
      </c>
      <c r="G24">
        <v>21000</v>
      </c>
      <c r="H24">
        <v>4200</v>
      </c>
    </row>
    <row r="25" spans="1:8" x14ac:dyDescent="0.3">
      <c r="A25" t="s">
        <v>47</v>
      </c>
      <c r="B25" t="s">
        <v>23</v>
      </c>
      <c r="C25" t="s">
        <v>10</v>
      </c>
      <c r="D25" t="s">
        <v>29</v>
      </c>
      <c r="E25" t="s">
        <v>25</v>
      </c>
      <c r="F25">
        <v>8</v>
      </c>
      <c r="G25">
        <v>120000</v>
      </c>
      <c r="H25">
        <v>18000</v>
      </c>
    </row>
    <row r="26" spans="1:8" x14ac:dyDescent="0.3">
      <c r="A26" t="s">
        <v>48</v>
      </c>
      <c r="B26" t="s">
        <v>9</v>
      </c>
      <c r="C26" t="s">
        <v>10</v>
      </c>
      <c r="D26" t="s">
        <v>11</v>
      </c>
      <c r="E26" t="s">
        <v>12</v>
      </c>
      <c r="F26">
        <v>7</v>
      </c>
      <c r="G26">
        <v>350000</v>
      </c>
      <c r="H26">
        <v>52500</v>
      </c>
    </row>
    <row r="27" spans="1:8" x14ac:dyDescent="0.3">
      <c r="A27" t="s">
        <v>49</v>
      </c>
      <c r="B27" t="s">
        <v>14</v>
      </c>
      <c r="C27" t="s">
        <v>15</v>
      </c>
      <c r="D27" t="s">
        <v>16</v>
      </c>
      <c r="E27" t="s">
        <v>17</v>
      </c>
      <c r="F27">
        <v>24</v>
      </c>
      <c r="G27">
        <v>24000</v>
      </c>
      <c r="H27">
        <v>4800</v>
      </c>
    </row>
    <row r="28" spans="1:8" x14ac:dyDescent="0.3">
      <c r="A28" t="s">
        <v>50</v>
      </c>
      <c r="B28" t="s">
        <v>19</v>
      </c>
      <c r="C28" t="s">
        <v>15</v>
      </c>
      <c r="D28" t="s">
        <v>20</v>
      </c>
      <c r="E28" t="s">
        <v>21</v>
      </c>
      <c r="F28">
        <v>19</v>
      </c>
      <c r="G28">
        <v>28500</v>
      </c>
      <c r="H28">
        <v>5700</v>
      </c>
    </row>
    <row r="29" spans="1:8" x14ac:dyDescent="0.3">
      <c r="A29" t="s">
        <v>51</v>
      </c>
      <c r="B29" t="s">
        <v>23</v>
      </c>
      <c r="C29" t="s">
        <v>10</v>
      </c>
      <c r="D29" t="s">
        <v>24</v>
      </c>
      <c r="E29" t="s">
        <v>25</v>
      </c>
      <c r="F29">
        <v>5</v>
      </c>
      <c r="G29">
        <v>75000</v>
      </c>
      <c r="H29">
        <v>11250</v>
      </c>
    </row>
    <row r="30" spans="1:8" x14ac:dyDescent="0.3">
      <c r="A30" t="s">
        <v>52</v>
      </c>
      <c r="B30" t="s">
        <v>9</v>
      </c>
      <c r="C30" t="s">
        <v>10</v>
      </c>
      <c r="D30" t="s">
        <v>27</v>
      </c>
      <c r="E30" t="s">
        <v>12</v>
      </c>
      <c r="F30">
        <v>3</v>
      </c>
      <c r="G30">
        <v>150000</v>
      </c>
      <c r="H30">
        <v>22500</v>
      </c>
    </row>
    <row r="31" spans="1:8" x14ac:dyDescent="0.3">
      <c r="A31" t="s">
        <v>53</v>
      </c>
      <c r="B31" t="s">
        <v>14</v>
      </c>
      <c r="C31" t="s">
        <v>15</v>
      </c>
      <c r="D31" t="s">
        <v>29</v>
      </c>
      <c r="E31" t="s">
        <v>17</v>
      </c>
      <c r="F31">
        <v>26</v>
      </c>
      <c r="G31">
        <v>26000</v>
      </c>
      <c r="H31">
        <v>5200</v>
      </c>
    </row>
    <row r="32" spans="1:8" x14ac:dyDescent="0.3">
      <c r="A32" t="s">
        <v>54</v>
      </c>
      <c r="B32" t="s">
        <v>19</v>
      </c>
      <c r="C32" t="s">
        <v>15</v>
      </c>
      <c r="D32" t="s">
        <v>11</v>
      </c>
      <c r="E32" t="s">
        <v>21</v>
      </c>
      <c r="F32">
        <v>17</v>
      </c>
      <c r="G32">
        <v>25500</v>
      </c>
      <c r="H32">
        <v>5100</v>
      </c>
    </row>
    <row r="33" spans="1:8" x14ac:dyDescent="0.3">
      <c r="A33" t="s">
        <v>55</v>
      </c>
      <c r="B33" t="s">
        <v>23</v>
      </c>
      <c r="C33" t="s">
        <v>10</v>
      </c>
      <c r="D33" t="s">
        <v>16</v>
      </c>
      <c r="E33" t="s">
        <v>25</v>
      </c>
      <c r="F33">
        <v>11</v>
      </c>
      <c r="G33">
        <v>165000</v>
      </c>
      <c r="H33">
        <v>24750</v>
      </c>
    </row>
    <row r="34" spans="1:8" x14ac:dyDescent="0.3">
      <c r="A34" t="s">
        <v>56</v>
      </c>
      <c r="B34" t="s">
        <v>9</v>
      </c>
      <c r="C34" t="s">
        <v>10</v>
      </c>
      <c r="D34" t="s">
        <v>20</v>
      </c>
      <c r="E34" t="s">
        <v>12</v>
      </c>
      <c r="F34">
        <v>6</v>
      </c>
      <c r="G34">
        <v>300000</v>
      </c>
      <c r="H34">
        <v>45000</v>
      </c>
    </row>
    <row r="35" spans="1:8" x14ac:dyDescent="0.3">
      <c r="A35" t="s">
        <v>57</v>
      </c>
      <c r="B35" t="s">
        <v>14</v>
      </c>
      <c r="C35" t="s">
        <v>15</v>
      </c>
      <c r="D35" t="s">
        <v>24</v>
      </c>
      <c r="E35" t="s">
        <v>17</v>
      </c>
      <c r="F35">
        <v>21</v>
      </c>
      <c r="G35">
        <v>21000</v>
      </c>
      <c r="H35">
        <v>4200</v>
      </c>
    </row>
    <row r="36" spans="1:8" x14ac:dyDescent="0.3">
      <c r="A36" t="s">
        <v>58</v>
      </c>
      <c r="B36" t="s">
        <v>19</v>
      </c>
      <c r="C36" t="s">
        <v>15</v>
      </c>
      <c r="D36" t="s">
        <v>27</v>
      </c>
      <c r="E36" t="s">
        <v>21</v>
      </c>
      <c r="F36">
        <v>13</v>
      </c>
      <c r="G36">
        <v>19500</v>
      </c>
      <c r="H36">
        <v>3900</v>
      </c>
    </row>
    <row r="37" spans="1:8" x14ac:dyDescent="0.3">
      <c r="A37" t="s">
        <v>59</v>
      </c>
      <c r="B37" t="s">
        <v>23</v>
      </c>
      <c r="C37" t="s">
        <v>10</v>
      </c>
      <c r="D37" t="s">
        <v>29</v>
      </c>
      <c r="E37" t="s">
        <v>25</v>
      </c>
      <c r="F37">
        <v>7</v>
      </c>
      <c r="G37">
        <v>105000</v>
      </c>
      <c r="H37">
        <v>15750</v>
      </c>
    </row>
    <row r="38" spans="1:8" x14ac:dyDescent="0.3">
      <c r="A38" t="s">
        <v>60</v>
      </c>
      <c r="B38" t="s">
        <v>9</v>
      </c>
      <c r="C38" t="s">
        <v>10</v>
      </c>
      <c r="D38" t="s">
        <v>11</v>
      </c>
      <c r="E38" t="s">
        <v>12</v>
      </c>
      <c r="F38">
        <v>5</v>
      </c>
      <c r="G38">
        <v>250000</v>
      </c>
      <c r="H38">
        <v>37500</v>
      </c>
    </row>
    <row r="39" spans="1:8" x14ac:dyDescent="0.3">
      <c r="A39" t="s">
        <v>61</v>
      </c>
      <c r="B39" t="s">
        <v>14</v>
      </c>
      <c r="C39" t="s">
        <v>15</v>
      </c>
      <c r="D39" t="s">
        <v>16</v>
      </c>
      <c r="E39" t="s">
        <v>17</v>
      </c>
      <c r="F39">
        <v>23</v>
      </c>
      <c r="G39">
        <v>23000</v>
      </c>
      <c r="H39">
        <v>4600</v>
      </c>
    </row>
    <row r="40" spans="1:8" x14ac:dyDescent="0.3">
      <c r="A40" t="s">
        <v>62</v>
      </c>
      <c r="B40" t="s">
        <v>19</v>
      </c>
      <c r="C40" t="s">
        <v>15</v>
      </c>
      <c r="D40" t="s">
        <v>20</v>
      </c>
      <c r="E40" t="s">
        <v>21</v>
      </c>
      <c r="F40">
        <v>16</v>
      </c>
      <c r="G40">
        <v>24000</v>
      </c>
      <c r="H40">
        <v>4800</v>
      </c>
    </row>
    <row r="41" spans="1:8" x14ac:dyDescent="0.3">
      <c r="A41" t="s">
        <v>63</v>
      </c>
      <c r="B41" t="s">
        <v>23</v>
      </c>
      <c r="C41" t="s">
        <v>10</v>
      </c>
      <c r="D41" t="s">
        <v>24</v>
      </c>
      <c r="E41" t="s">
        <v>25</v>
      </c>
      <c r="F41">
        <v>9</v>
      </c>
      <c r="G41">
        <v>135000</v>
      </c>
      <c r="H41">
        <v>20250</v>
      </c>
    </row>
    <row r="42" spans="1:8" x14ac:dyDescent="0.3">
      <c r="A42" t="s">
        <v>64</v>
      </c>
      <c r="B42" t="s">
        <v>9</v>
      </c>
      <c r="C42" t="s">
        <v>10</v>
      </c>
      <c r="D42" t="s">
        <v>27</v>
      </c>
      <c r="E42" t="s">
        <v>12</v>
      </c>
      <c r="F42">
        <v>4</v>
      </c>
      <c r="G42">
        <v>200000</v>
      </c>
      <c r="H42">
        <v>30000</v>
      </c>
    </row>
    <row r="43" spans="1:8" x14ac:dyDescent="0.3">
      <c r="A43" t="s">
        <v>65</v>
      </c>
      <c r="B43" t="s">
        <v>14</v>
      </c>
      <c r="C43" t="s">
        <v>15</v>
      </c>
      <c r="D43" t="s">
        <v>29</v>
      </c>
      <c r="E43" t="s">
        <v>17</v>
      </c>
      <c r="F43">
        <v>27</v>
      </c>
      <c r="G43">
        <v>27000</v>
      </c>
      <c r="H43">
        <v>5400</v>
      </c>
    </row>
    <row r="44" spans="1:8" x14ac:dyDescent="0.3">
      <c r="A44" t="s">
        <v>66</v>
      </c>
      <c r="B44" t="s">
        <v>19</v>
      </c>
      <c r="C44" t="s">
        <v>15</v>
      </c>
      <c r="D44" t="s">
        <v>11</v>
      </c>
      <c r="E44" t="s">
        <v>21</v>
      </c>
      <c r="F44">
        <v>15</v>
      </c>
      <c r="G44">
        <v>22500</v>
      </c>
      <c r="H44">
        <v>4500</v>
      </c>
    </row>
    <row r="45" spans="1:8" x14ac:dyDescent="0.3">
      <c r="A45" t="s">
        <v>67</v>
      </c>
      <c r="B45" t="s">
        <v>23</v>
      </c>
      <c r="C45" t="s">
        <v>10</v>
      </c>
      <c r="D45" t="s">
        <v>16</v>
      </c>
      <c r="E45" t="s">
        <v>25</v>
      </c>
      <c r="F45">
        <v>8</v>
      </c>
      <c r="G45">
        <v>120000</v>
      </c>
      <c r="H45">
        <v>18000</v>
      </c>
    </row>
    <row r="46" spans="1:8" x14ac:dyDescent="0.3">
      <c r="A46" t="s">
        <v>68</v>
      </c>
      <c r="B46" t="s">
        <v>9</v>
      </c>
      <c r="C46" t="s">
        <v>10</v>
      </c>
      <c r="D46" t="s">
        <v>20</v>
      </c>
      <c r="E46" t="s">
        <v>12</v>
      </c>
      <c r="F46">
        <v>7</v>
      </c>
      <c r="G46">
        <v>350000</v>
      </c>
      <c r="H46">
        <v>52500</v>
      </c>
    </row>
    <row r="47" spans="1:8" x14ac:dyDescent="0.3">
      <c r="A47" t="s">
        <v>69</v>
      </c>
      <c r="B47" t="s">
        <v>14</v>
      </c>
      <c r="C47" t="s">
        <v>15</v>
      </c>
      <c r="D47" t="s">
        <v>24</v>
      </c>
      <c r="E47" t="s">
        <v>17</v>
      </c>
      <c r="F47">
        <v>19</v>
      </c>
      <c r="G47">
        <v>19000</v>
      </c>
      <c r="H47">
        <v>3800</v>
      </c>
    </row>
    <row r="48" spans="1:8" x14ac:dyDescent="0.3">
      <c r="A48" t="s">
        <v>70</v>
      </c>
      <c r="B48" t="s">
        <v>19</v>
      </c>
      <c r="C48" t="s">
        <v>15</v>
      </c>
      <c r="D48" t="s">
        <v>27</v>
      </c>
      <c r="E48" t="s">
        <v>21</v>
      </c>
      <c r="F48">
        <v>18</v>
      </c>
      <c r="G48">
        <v>27000</v>
      </c>
      <c r="H48">
        <v>5400</v>
      </c>
    </row>
    <row r="49" spans="1:8" x14ac:dyDescent="0.3">
      <c r="A49" t="s">
        <v>71</v>
      </c>
      <c r="B49" t="s">
        <v>23</v>
      </c>
      <c r="C49" t="s">
        <v>10</v>
      </c>
      <c r="D49" t="s">
        <v>29</v>
      </c>
      <c r="E49" t="s">
        <v>25</v>
      </c>
      <c r="F49">
        <v>6</v>
      </c>
      <c r="G49">
        <v>90000</v>
      </c>
      <c r="H49">
        <v>13500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F74B-E2C7-4E0A-B2EB-8A75244896DF}">
  <dimension ref="A1:K22"/>
  <sheetViews>
    <sheetView tabSelected="1" zoomScale="30" zoomScaleNormal="69" workbookViewId="0">
      <selection activeCell="N32" sqref="N32"/>
    </sheetView>
  </sheetViews>
  <sheetFormatPr defaultRowHeight="14.4" x14ac:dyDescent="0.3"/>
  <cols>
    <col min="1" max="1" width="13.6640625" customWidth="1"/>
    <col min="2" max="2" width="11.109375" bestFit="1" customWidth="1"/>
    <col min="3" max="3" width="10" bestFit="1" customWidth="1"/>
    <col min="5" max="5" width="25.44140625" bestFit="1" customWidth="1"/>
    <col min="6" max="6" width="10.21875" customWidth="1"/>
    <col min="7" max="7" width="16.77734375" customWidth="1"/>
    <col min="8" max="8" width="10.6640625" customWidth="1"/>
    <col min="9" max="9" width="17.5546875" customWidth="1"/>
    <col min="11" max="11" width="16.5546875" customWidth="1"/>
  </cols>
  <sheetData>
    <row r="1" spans="1:11" ht="39" x14ac:dyDescent="0.75">
      <c r="A1" s="1"/>
      <c r="C1" s="1" t="s">
        <v>72</v>
      </c>
    </row>
    <row r="3" spans="1:11" ht="18" x14ac:dyDescent="0.35">
      <c r="A3" s="3" t="s">
        <v>75</v>
      </c>
      <c r="B3" s="5"/>
      <c r="C3" s="4" t="s">
        <v>5</v>
      </c>
      <c r="D3" s="5"/>
      <c r="E3" s="2" t="s">
        <v>73</v>
      </c>
      <c r="F3" s="5"/>
      <c r="G3" s="4" t="s">
        <v>74</v>
      </c>
      <c r="H3" s="5"/>
      <c r="I3" s="4" t="s">
        <v>76</v>
      </c>
      <c r="J3" s="5"/>
      <c r="K3" s="4" t="s">
        <v>77</v>
      </c>
    </row>
    <row r="4" spans="1:11" ht="31.2" x14ac:dyDescent="0.6">
      <c r="A4" s="6">
        <f>COUNTA('Sales Data'!A2:A51)</f>
        <v>48</v>
      </c>
      <c r="B4" s="5"/>
      <c r="C4" s="6">
        <f>SUM('Sales Data'!F2:F51)</f>
        <v>629</v>
      </c>
      <c r="D4" s="5"/>
      <c r="E4" s="7">
        <f>SUM('Sales Data'!G2:G51)</f>
        <v>4932500</v>
      </c>
      <c r="F4" s="5"/>
      <c r="G4" s="7">
        <f>SUM('Sales Data'!H2:H51)</f>
        <v>768500</v>
      </c>
      <c r="H4" s="5"/>
      <c r="I4" s="8">
        <f>AVERAGE('Sales Data'!G2:G51)</f>
        <v>102760.41666666667</v>
      </c>
      <c r="J4" s="5"/>
      <c r="K4" s="9">
        <f>AVERAGE('Sales Data'!H2:H51)</f>
        <v>16010.416666666666</v>
      </c>
    </row>
    <row r="22" spans="2:2" x14ac:dyDescent="0.3">
      <c r="B2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7005-8C0B-433C-9D2C-14C90C0CF0F9}">
  <dimension ref="A1:E54"/>
  <sheetViews>
    <sheetView topLeftCell="E1" zoomScale="50" zoomScaleNormal="88" workbookViewId="0">
      <selection activeCell="M29" sqref="M29"/>
    </sheetView>
  </sheetViews>
  <sheetFormatPr defaultRowHeight="14.4" x14ac:dyDescent="0.3"/>
  <cols>
    <col min="1" max="1" width="16.77734375" style="10" bestFit="1" customWidth="1"/>
    <col min="2" max="2" width="20.109375" style="10" bestFit="1" customWidth="1"/>
    <col min="3" max="3" width="17.21875" style="10" bestFit="1" customWidth="1"/>
    <col min="4" max="4" width="16.77734375" style="10" bestFit="1" customWidth="1"/>
    <col min="5" max="5" width="20.109375" style="10" bestFit="1" customWidth="1"/>
    <col min="6" max="16384" width="8.88671875" style="10"/>
  </cols>
  <sheetData>
    <row r="1" spans="1:5" ht="31.2" x14ac:dyDescent="0.6">
      <c r="B1" s="11"/>
      <c r="C1" s="12" t="s">
        <v>83</v>
      </c>
    </row>
    <row r="3" spans="1:5" ht="18" x14ac:dyDescent="0.35">
      <c r="A3" s="13" t="s">
        <v>79</v>
      </c>
      <c r="D3" s="13" t="s">
        <v>80</v>
      </c>
    </row>
    <row r="5" spans="1:5" x14ac:dyDescent="0.3">
      <c r="A5" s="14" t="s">
        <v>3</v>
      </c>
      <c r="B5" s="10" t="s">
        <v>73</v>
      </c>
      <c r="D5" s="14" t="s">
        <v>0</v>
      </c>
      <c r="E5" s="10" t="s">
        <v>73</v>
      </c>
    </row>
    <row r="6" spans="1:5" x14ac:dyDescent="0.3">
      <c r="A6" s="17" t="s">
        <v>11</v>
      </c>
      <c r="B6" s="17">
        <v>1249000</v>
      </c>
      <c r="D6" s="15" t="s">
        <v>8</v>
      </c>
      <c r="E6" s="10">
        <v>250000</v>
      </c>
    </row>
    <row r="7" spans="1:5" x14ac:dyDescent="0.3">
      <c r="A7" s="17" t="s">
        <v>27</v>
      </c>
      <c r="B7" s="17">
        <v>835500</v>
      </c>
      <c r="D7" s="15" t="s">
        <v>55</v>
      </c>
      <c r="E7" s="10">
        <v>165000</v>
      </c>
    </row>
    <row r="8" spans="1:5" x14ac:dyDescent="0.3">
      <c r="A8" s="17" t="s">
        <v>20</v>
      </c>
      <c r="B8" s="17">
        <v>1155000</v>
      </c>
      <c r="D8" s="15" t="s">
        <v>13</v>
      </c>
      <c r="E8" s="10">
        <v>20000</v>
      </c>
    </row>
    <row r="9" spans="1:5" x14ac:dyDescent="0.3">
      <c r="A9" s="17" t="s">
        <v>29</v>
      </c>
      <c r="B9" s="17">
        <v>565000</v>
      </c>
      <c r="D9" s="15" t="s">
        <v>56</v>
      </c>
      <c r="E9" s="10">
        <v>300000</v>
      </c>
    </row>
    <row r="10" spans="1:5" x14ac:dyDescent="0.3">
      <c r="A10" s="17" t="s">
        <v>24</v>
      </c>
      <c r="B10" s="17">
        <v>533000</v>
      </c>
      <c r="D10" s="15" t="s">
        <v>18</v>
      </c>
      <c r="E10" s="10">
        <v>22500</v>
      </c>
    </row>
    <row r="11" spans="1:5" x14ac:dyDescent="0.3">
      <c r="A11" s="17" t="s">
        <v>16</v>
      </c>
      <c r="B11" s="17">
        <v>595000</v>
      </c>
      <c r="D11" s="15" t="s">
        <v>57</v>
      </c>
      <c r="E11" s="10">
        <v>21000</v>
      </c>
    </row>
    <row r="12" spans="1:5" x14ac:dyDescent="0.3">
      <c r="A12" s="15" t="s">
        <v>78</v>
      </c>
      <c r="B12" s="10">
        <v>4932500</v>
      </c>
      <c r="D12" s="15" t="s">
        <v>22</v>
      </c>
      <c r="E12" s="10">
        <v>120000</v>
      </c>
    </row>
    <row r="13" spans="1:5" x14ac:dyDescent="0.3">
      <c r="D13" s="15" t="s">
        <v>58</v>
      </c>
      <c r="E13" s="10">
        <v>19500</v>
      </c>
    </row>
    <row r="14" spans="1:5" x14ac:dyDescent="0.3">
      <c r="D14" s="15" t="s">
        <v>26</v>
      </c>
      <c r="E14" s="10">
        <v>150000</v>
      </c>
    </row>
    <row r="15" spans="1:5" ht="18" x14ac:dyDescent="0.35">
      <c r="A15" s="13" t="s">
        <v>81</v>
      </c>
      <c r="D15" s="15" t="s">
        <v>59</v>
      </c>
      <c r="E15" s="10">
        <v>105000</v>
      </c>
    </row>
    <row r="16" spans="1:5" x14ac:dyDescent="0.3">
      <c r="D16" s="15" t="s">
        <v>28</v>
      </c>
      <c r="E16" s="10">
        <v>25000</v>
      </c>
    </row>
    <row r="17" spans="1:5" x14ac:dyDescent="0.3">
      <c r="A17" s="14" t="s">
        <v>1</v>
      </c>
      <c r="B17" s="10" t="s">
        <v>73</v>
      </c>
      <c r="D17" s="15" t="s">
        <v>60</v>
      </c>
      <c r="E17" s="10">
        <v>250000</v>
      </c>
    </row>
    <row r="18" spans="1:5" x14ac:dyDescent="0.3">
      <c r="A18" s="15" t="s">
        <v>19</v>
      </c>
      <c r="B18" s="10">
        <v>289500</v>
      </c>
      <c r="D18" s="15" t="s">
        <v>30</v>
      </c>
      <c r="E18" s="10">
        <v>27000</v>
      </c>
    </row>
    <row r="19" spans="1:5" x14ac:dyDescent="0.3">
      <c r="A19" s="15" t="s">
        <v>9</v>
      </c>
      <c r="B19" s="10">
        <v>2950000</v>
      </c>
      <c r="D19" s="15" t="s">
        <v>61</v>
      </c>
      <c r="E19" s="10">
        <v>23000</v>
      </c>
    </row>
    <row r="20" spans="1:5" x14ac:dyDescent="0.3">
      <c r="A20" s="15" t="s">
        <v>23</v>
      </c>
      <c r="B20" s="10">
        <v>1410000</v>
      </c>
      <c r="D20" s="15" t="s">
        <v>31</v>
      </c>
      <c r="E20" s="10">
        <v>90000</v>
      </c>
    </row>
    <row r="21" spans="1:5" x14ac:dyDescent="0.3">
      <c r="A21" s="15" t="s">
        <v>14</v>
      </c>
      <c r="B21" s="10">
        <v>283000</v>
      </c>
      <c r="D21" s="15" t="s">
        <v>62</v>
      </c>
      <c r="E21" s="10">
        <v>24000</v>
      </c>
    </row>
    <row r="22" spans="1:5" x14ac:dyDescent="0.3">
      <c r="A22" s="15" t="s">
        <v>78</v>
      </c>
      <c r="B22" s="10">
        <v>4932500</v>
      </c>
      <c r="D22" s="15" t="s">
        <v>32</v>
      </c>
      <c r="E22" s="10">
        <v>200000</v>
      </c>
    </row>
    <row r="23" spans="1:5" x14ac:dyDescent="0.3">
      <c r="D23" s="15" t="s">
        <v>63</v>
      </c>
      <c r="E23" s="10">
        <v>135000</v>
      </c>
    </row>
    <row r="24" spans="1:5" x14ac:dyDescent="0.3">
      <c r="D24" s="15" t="s">
        <v>33</v>
      </c>
      <c r="E24" s="10">
        <v>30000</v>
      </c>
    </row>
    <row r="25" spans="1:5" ht="18" x14ac:dyDescent="0.35">
      <c r="A25" s="13" t="s">
        <v>82</v>
      </c>
      <c r="D25" s="15" t="s">
        <v>64</v>
      </c>
      <c r="E25" s="10">
        <v>200000</v>
      </c>
    </row>
    <row r="26" spans="1:5" x14ac:dyDescent="0.3">
      <c r="D26" s="15" t="s">
        <v>34</v>
      </c>
      <c r="E26" s="10">
        <v>18000</v>
      </c>
    </row>
    <row r="27" spans="1:5" x14ac:dyDescent="0.3">
      <c r="A27" s="14" t="s">
        <v>3</v>
      </c>
      <c r="B27" s="10" t="s">
        <v>74</v>
      </c>
      <c r="D27" s="15" t="s">
        <v>65</v>
      </c>
      <c r="E27" s="10">
        <v>27000</v>
      </c>
    </row>
    <row r="28" spans="1:5" x14ac:dyDescent="0.3">
      <c r="A28" s="15" t="s">
        <v>11</v>
      </c>
      <c r="B28" s="10">
        <v>192300</v>
      </c>
      <c r="D28" s="15" t="s">
        <v>35</v>
      </c>
      <c r="E28" s="10">
        <v>150000</v>
      </c>
    </row>
    <row r="29" spans="1:5" x14ac:dyDescent="0.3">
      <c r="A29" s="15" t="s">
        <v>27</v>
      </c>
      <c r="B29" s="10">
        <v>129600</v>
      </c>
      <c r="D29" s="15" t="s">
        <v>66</v>
      </c>
      <c r="E29" s="10">
        <v>22500</v>
      </c>
    </row>
    <row r="30" spans="1:5" x14ac:dyDescent="0.3">
      <c r="A30" s="15" t="s">
        <v>20</v>
      </c>
      <c r="B30" s="10">
        <v>178500</v>
      </c>
      <c r="D30" s="15" t="s">
        <v>36</v>
      </c>
      <c r="E30" s="10">
        <v>300000</v>
      </c>
    </row>
    <row r="31" spans="1:5" x14ac:dyDescent="0.3">
      <c r="A31" s="15" t="s">
        <v>29</v>
      </c>
      <c r="B31" s="10">
        <v>89750</v>
      </c>
      <c r="D31" s="15" t="s">
        <v>67</v>
      </c>
      <c r="E31" s="10">
        <v>120000</v>
      </c>
    </row>
    <row r="32" spans="1:5" x14ac:dyDescent="0.3">
      <c r="A32" s="15" t="s">
        <v>24</v>
      </c>
      <c r="B32" s="10">
        <v>84850</v>
      </c>
      <c r="D32" s="15" t="s">
        <v>37</v>
      </c>
      <c r="E32" s="10">
        <v>18000</v>
      </c>
    </row>
    <row r="33" spans="1:5" x14ac:dyDescent="0.3">
      <c r="A33" s="15" t="s">
        <v>16</v>
      </c>
      <c r="B33" s="10">
        <v>93500</v>
      </c>
      <c r="D33" s="15" t="s">
        <v>68</v>
      </c>
      <c r="E33" s="10">
        <v>350000</v>
      </c>
    </row>
    <row r="34" spans="1:5" x14ac:dyDescent="0.3">
      <c r="A34" s="15" t="s">
        <v>78</v>
      </c>
      <c r="B34" s="10">
        <v>768500</v>
      </c>
      <c r="D34" s="15" t="s">
        <v>38</v>
      </c>
      <c r="E34" s="10">
        <v>30000</v>
      </c>
    </row>
    <row r="35" spans="1:5" x14ac:dyDescent="0.3">
      <c r="D35" s="15" t="s">
        <v>69</v>
      </c>
      <c r="E35" s="10">
        <v>19000</v>
      </c>
    </row>
    <row r="36" spans="1:5" x14ac:dyDescent="0.3">
      <c r="D36" s="15" t="s">
        <v>39</v>
      </c>
      <c r="E36" s="10">
        <v>105000</v>
      </c>
    </row>
    <row r="37" spans="1:5" x14ac:dyDescent="0.3">
      <c r="D37" s="15" t="s">
        <v>70</v>
      </c>
      <c r="E37" s="10">
        <v>27000</v>
      </c>
    </row>
    <row r="38" spans="1:5" x14ac:dyDescent="0.3">
      <c r="D38" s="15" t="s">
        <v>40</v>
      </c>
      <c r="E38" s="10">
        <v>250000</v>
      </c>
    </row>
    <row r="39" spans="1:5" x14ac:dyDescent="0.3">
      <c r="D39" s="15" t="s">
        <v>71</v>
      </c>
      <c r="E39" s="10">
        <v>90000</v>
      </c>
    </row>
    <row r="40" spans="1:5" x14ac:dyDescent="0.3">
      <c r="D40" s="15" t="s">
        <v>41</v>
      </c>
      <c r="E40" s="10">
        <v>22000</v>
      </c>
    </row>
    <row r="41" spans="1:5" x14ac:dyDescent="0.3">
      <c r="D41" s="15" t="s">
        <v>42</v>
      </c>
      <c r="E41" s="10">
        <v>24000</v>
      </c>
    </row>
    <row r="42" spans="1:5" x14ac:dyDescent="0.3">
      <c r="D42" s="15" t="s">
        <v>43</v>
      </c>
      <c r="E42" s="10">
        <v>135000</v>
      </c>
    </row>
    <row r="43" spans="1:5" x14ac:dyDescent="0.3">
      <c r="D43" s="15" t="s">
        <v>44</v>
      </c>
      <c r="E43" s="10">
        <v>200000</v>
      </c>
    </row>
    <row r="44" spans="1:5" x14ac:dyDescent="0.3">
      <c r="D44" s="15" t="s">
        <v>45</v>
      </c>
      <c r="E44" s="10">
        <v>28000</v>
      </c>
    </row>
    <row r="45" spans="1:5" x14ac:dyDescent="0.3">
      <c r="D45" s="15" t="s">
        <v>46</v>
      </c>
      <c r="E45" s="10">
        <v>21000</v>
      </c>
    </row>
    <row r="46" spans="1:5" x14ac:dyDescent="0.3">
      <c r="D46" s="15" t="s">
        <v>47</v>
      </c>
      <c r="E46" s="10">
        <v>120000</v>
      </c>
    </row>
    <row r="47" spans="1:5" x14ac:dyDescent="0.3">
      <c r="D47" s="15" t="s">
        <v>48</v>
      </c>
      <c r="E47" s="10">
        <v>350000</v>
      </c>
    </row>
    <row r="48" spans="1:5" x14ac:dyDescent="0.3">
      <c r="D48" s="15" t="s">
        <v>49</v>
      </c>
      <c r="E48" s="10">
        <v>24000</v>
      </c>
    </row>
    <row r="49" spans="4:5" x14ac:dyDescent="0.3">
      <c r="D49" s="15" t="s">
        <v>50</v>
      </c>
      <c r="E49" s="10">
        <v>28500</v>
      </c>
    </row>
    <row r="50" spans="4:5" x14ac:dyDescent="0.3">
      <c r="D50" s="15" t="s">
        <v>51</v>
      </c>
      <c r="E50" s="10">
        <v>75000</v>
      </c>
    </row>
    <row r="51" spans="4:5" x14ac:dyDescent="0.3">
      <c r="D51" s="15" t="s">
        <v>52</v>
      </c>
      <c r="E51" s="10">
        <v>150000</v>
      </c>
    </row>
    <row r="52" spans="4:5" x14ac:dyDescent="0.3">
      <c r="D52" s="15" t="s">
        <v>53</v>
      </c>
      <c r="E52" s="10">
        <v>26000</v>
      </c>
    </row>
    <row r="53" spans="4:5" x14ac:dyDescent="0.3">
      <c r="D53" s="15" t="s">
        <v>54</v>
      </c>
      <c r="E53" s="10">
        <v>25500</v>
      </c>
    </row>
    <row r="54" spans="4:5" x14ac:dyDescent="0.3">
      <c r="D54" s="15" t="s">
        <v>78</v>
      </c>
      <c r="E54" s="10">
        <v>4932500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Chiranjeevi T</dc:creator>
  <cp:lastModifiedBy>Chiranjeevi T</cp:lastModifiedBy>
  <dcterms:created xsi:type="dcterms:W3CDTF">2026-09-07T06:50:56Z</dcterms:created>
  <dcterms:modified xsi:type="dcterms:W3CDTF">2026-09-11T06:18:08Z</dcterms:modified>
</cp:coreProperties>
</file>